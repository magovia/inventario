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inorGomezViales\Documents\Min\inventario\"/>
    </mc:Choice>
  </mc:AlternateContent>
  <xr:revisionPtr revIDLastSave="0" documentId="13_ncr:1_{7B5933C0-4A1B-4C31-8BFC-F5796B809C44}" xr6:coauthVersionLast="47" xr6:coauthVersionMax="47" xr10:uidLastSave="{00000000-0000-0000-0000-000000000000}"/>
  <bookViews>
    <workbookView minimized="1" xWindow="510" yWindow="690" windowWidth="21600" windowHeight="11835" activeTab="2" xr2:uid="{11BAFABE-AE26-44DA-9CE9-2CFDF6A9803C}"/>
  </bookViews>
  <sheets>
    <sheet name="Macro" sheetId="8" r:id="rId1"/>
    <sheet name="proveedor" sheetId="3" r:id="rId2"/>
    <sheet name="tblProductos" sheetId="7" r:id="rId3"/>
    <sheet name="factura" sheetId="2" r:id="rId4"/>
    <sheet name="ProductoCheck" sheetId="4" r:id="rId5"/>
    <sheet name="categorias" sheetId="6" r:id="rId6"/>
    <sheet name="Hoja1" sheetId="1" r:id="rId7"/>
    <sheet name="Hoja2" sheetId="5" r:id="rId8"/>
  </sheets>
  <definedNames>
    <definedName name="_xlnm._FilterDatabase" localSheetId="6" hidden="1">Hoja1!$C$1:$D$87</definedName>
    <definedName name="_xlnm._FilterDatabase" localSheetId="7" hidden="1">Hoja2!$K$1:$K$85</definedName>
    <definedName name="_xlnm._FilterDatabase" localSheetId="4" hidden="1">ProductoCheck!$C$2:$L$25</definedName>
    <definedName name="DatosExternos_1" localSheetId="3" hidden="1">factura!$A$1:$N$5</definedName>
    <definedName name="DatosExternos_2" localSheetId="1" hidden="1">proveedor!$A$1:$E$3</definedName>
    <definedName name="DatosExternos_2" localSheetId="2" hidden="1">tblProductos!$A$1:$G$5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FFDC6B22-65DF-48CF-86A7-33B517D07F98}" keepAlive="1" name="Query - factura" description="Connection to the 'factura' query in the workbook." type="5" refreshedVersion="8" background="1" saveData="1">
    <dbPr connection="Provider=Microsoft.Mashup.OleDb.1;Data Source=$Workbook$;Location=factura;Extended Properties=&quot;&quot;" command="SELECT * FROM [factura]"/>
  </connection>
  <connection id="3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5" xr16:uid="{33B4C9E5-6713-454A-BE34-C147BD933A04}" keepAlive="1" name="Query - RutaFacturas" description="Connection to the 'RutaFacturas' query in the workbook." type="5" refreshedVersion="0" background="1">
    <dbPr connection="Provider=Microsoft.Mashup.OleDb.1;Data Source=$Workbook$;Location=RutaFacturas;Extended Properties=&quot;&quot;" command="SELECT * FROM [RutaFacturas]"/>
  </connection>
  <connection id="6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7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<sst xmlns="http://schemas.openxmlformats.org/spreadsheetml/2006/main" count="2842" uniqueCount="1225">
  <si>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</si>
  <si>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</si>
  <si>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</si>
  <si>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</si>
  <si>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</si>
  <si>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</si>
  <si>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</si>
  <si>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</si>
  <si>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</si>
  <si>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</si>
  <si>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</si>
  <si>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</si>
  <si>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</si>
  <si>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</si>
  <si>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</si>
  <si>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</si>
  <si>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</si>
  <si>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</si>
  <si>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</si>
  <si>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</si>
  <si>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</si>
  <si>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</si>
  <si>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</si>
  <si>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</si>
  <si>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</si>
  <si>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</si>
  <si>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</si>
  <si>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</si>
  <si>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</si>
  <si>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</si>
  <si>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</si>
  <si>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</si>
  <si>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</si>
  <si>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</si>
  <si>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</si>
  <si>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</si>
  <si>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</si>
  <si>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</si>
  <si>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</si>
  <si>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</si>
  <si>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</si>
  <si>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</si>
  <si>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</si>
  <si>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</si>
  <si>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</si>
  <si>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</si>
  <si>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</si>
  <si>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</si>
  <si>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</si>
  <si>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</si>
  <si>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</si>
  <si>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</si>
  <si>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</si>
  <si>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</si>
  <si>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</si>
  <si>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</si>
  <si>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</si>
  <si>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</si>
  <si>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</si>
  <si>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</si>
  <si>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</si>
  <si>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</si>
  <si>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</si>
  <si>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</si>
  <si>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</si>
  <si>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</si>
  <si>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</si>
  <si>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</si>
  <si>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</si>
  <si>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</si>
  <si>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</si>
  <si>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</si>
  <si>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</si>
  <si>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</si>
  <si>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</si>
  <si>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</si>
  <si>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</si>
  <si>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</si>
  <si>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</si>
  <si>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</si>
  <si>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</si>
  <si>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</si>
  <si>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</si>
  <si>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</si>
  <si>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</si>
  <si>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</si>
  <si>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</si>
  <si>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</si>
  <si>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</si>
  <si>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</si>
  <si>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</si>
  <si>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</si>
  <si>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</si>
  <si>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</si>
  <si>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</si>
  <si>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</si>
  <si>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</si>
  <si>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</si>
  <si>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</si>
  <si>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</si>
  <si>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</si>
  <si>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</si>
  <si>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</si>
  <si>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</si>
  <si>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</si>
  <si>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</si>
  <si>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</si>
  <si>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</si>
  <si>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</si>
  <si>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</si>
  <si>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</si>
  <si>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</si>
  <si>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</si>
  <si>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</si>
  <si>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</si>
  <si>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</si>
  <si>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</si>
  <si>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</si>
  <si>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</si>
  <si>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</si>
  <si>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</si>
  <si>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</si>
  <si>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</si>
  <si>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</si>
  <si>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</si>
  <si>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</si>
  <si>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</si>
  <si>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</si>
  <si>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</si>
  <si>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</si>
  <si>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</si>
  <si>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</si>
  <si>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</si>
  <si>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</si>
  <si>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</si>
  <si>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</si>
  <si>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</si>
  <si>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</si>
  <si>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</si>
  <si>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</si>
  <si>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</si>
  <si>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</si>
  <si>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</si>
  <si>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</si>
  <si>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</si>
  <si>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</si>
  <si>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</si>
  <si>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</si>
  <si>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</si>
  <si>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</si>
  <si>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</si>
  <si>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</si>
  <si>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</si>
  <si>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</si>
  <si>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</si>
  <si>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</si>
  <si>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</si>
  <si>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</si>
  <si>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</si>
  <si>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</si>
  <si>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</si>
  <si>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</si>
  <si>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</si>
  <si>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</si>
  <si>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</si>
  <si>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</si>
  <si>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</si>
  <si>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</si>
  <si>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</si>
  <si>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</si>
  <si>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</si>
  <si>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</si>
  <si>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</si>
  <si>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</si>
  <si>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</si>
  <si>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</si>
  <si>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</si>
  <si>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</si>
  <si>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</si>
  <si>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</si>
  <si>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</si>
  <si>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</si>
  <si>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</si>
  <si>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</si>
  <si>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</si>
  <si>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</si>
  <si>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</si>
  <si>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</si>
  <si>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</si>
  <si>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</si>
  <si>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</si>
  <si>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</si>
  <si>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</si>
  <si>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</si>
  <si>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</si>
  <si>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</si>
  <si>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</si>
  <si>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</si>
  <si>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</si>
  <si>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</si>
  <si>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</si>
  <si>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</si>
  <si>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</si>
  <si>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</si>
  <si>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</si>
  <si>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</si>
  <si>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</si>
  <si>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</si>
  <si>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</si>
  <si>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</si>
  <si>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</si>
  <si>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</si>
  <si>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</si>
  <si>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</si>
  <si>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</si>
  <si>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</si>
  <si>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</si>
  <si>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</si>
  <si>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</si>
  <si>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</si>
  <si>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</si>
  <si>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</si>
  <si>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</si>
  <si>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</si>
  <si>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</si>
  <si>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</si>
  <si>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</si>
  <si>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</si>
  <si>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</si>
  <si>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</si>
  <si>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</si>
  <si>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</si>
  <si>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</si>
  <si>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</si>
  <si>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</si>
  <si>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</si>
  <si>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</si>
  <si>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</si>
  <si>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</si>
  <si>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</si>
  <si>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</si>
  <si>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</si>
  <si>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</si>
  <si>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</si>
  <si>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</si>
  <si>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</si>
  <si>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</si>
  <si>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</si>
  <si>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</si>
  <si>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</si>
  <si>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</si>
  <si>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</si>
  <si>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</si>
  <si>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</si>
  <si>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</si>
  <si>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</si>
  <si>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</si>
  <si>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</si>
  <si>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</si>
  <si>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</si>
  <si>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</si>
  <si>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</si>
  <si>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</si>
  <si>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</si>
  <si>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</si>
  <si>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</si>
  <si>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</si>
  <si>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</si>
  <si>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</si>
  <si>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</si>
  <si>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</si>
  <si>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</si>
  <si>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</si>
  <si>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</si>
  <si>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</si>
  <si>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</si>
  <si>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</si>
  <si>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</si>
  <si>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</si>
  <si>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</si>
  <si>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</si>
  <si>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</si>
  <si>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</si>
  <si>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</si>
  <si>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</si>
  <si>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</si>
  <si>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</si>
  <si>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</si>
  <si>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</si>
  <si>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</si>
  <si>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</si>
  <si>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</si>
  <si>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</si>
  <si>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</si>
  <si>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</si>
  <si>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</si>
  <si>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</si>
  <si>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</si>
  <si>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</si>
  <si>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</si>
  <si>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</si>
  <si>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</si>
  <si>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</si>
  <si>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</si>
  <si>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</si>
  <si>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</si>
  <si>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</si>
  <si>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</si>
  <si>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</si>
  <si>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</si>
  <si>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</si>
  <si>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</si>
  <si>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</si>
  <si>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</si>
  <si>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</si>
  <si>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</si>
  <si>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</si>
  <si>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</si>
  <si>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</si>
  <si>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</si>
  <si>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</si>
  <si>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</si>
  <si>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</si>
  <si>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</si>
  <si>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</si>
  <si>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</si>
  <si>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</si>
  <si>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</si>
  <si>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</si>
  <si>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</si>
  <si>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</si>
  <si>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</si>
  <si>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</si>
  <si>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</si>
  <si>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</si>
  <si>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</si>
  <si>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reorden</t>
  </si>
  <si>
    <t>604200165</t>
  </si>
  <si>
    <t>3101207227</t>
  </si>
  <si>
    <t>3101105734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</si>
  <si>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</si>
  <si>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</si>
  <si>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</si>
  <si>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</si>
  <si>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</si>
  <si>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</si>
  <si>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</si>
  <si>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</si>
  <si>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</si>
  <si>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</si>
  <si>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</si>
  <si>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</si>
  <si>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</si>
  <si>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</si>
  <si>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</si>
  <si>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</si>
  <si>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</si>
  <si>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</si>
  <si>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</si>
  <si>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</si>
  <si>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</si>
  <si>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</si>
  <si>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</si>
  <si>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</si>
  <si>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</si>
  <si>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</si>
  <si>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</si>
  <si>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</si>
  <si>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</si>
  <si>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</si>
  <si>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</si>
  <si>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</si>
  <si>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</si>
  <si>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</si>
  <si>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</si>
  <si>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</si>
  <si>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</si>
  <si>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</si>
  <si>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</si>
  <si>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</si>
  <si>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</si>
  <si>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</si>
  <si>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</si>
  <si>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</si>
  <si>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</si>
  <si>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</si>
  <si>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</si>
  <si>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</si>
  <si>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</si>
  <si>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</si>
  <si>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</si>
  <si>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</si>
  <si>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</si>
  <si>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</si>
  <si>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</si>
  <si>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</si>
  <si>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</si>
  <si>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</si>
  <si>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</si>
  <si>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</si>
  <si>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</si>
  <si>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</si>
  <si>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</si>
  <si>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</si>
  <si>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</si>
  <si>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</si>
  <si>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</si>
  <si>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</si>
  <si>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</si>
  <si>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</si>
  <si>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</si>
  <si>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</si>
  <si>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</si>
  <si>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</si>
  <si>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</si>
  <si>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</si>
  <si>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</si>
  <si>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</si>
  <si>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</si>
  <si>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</si>
  <si>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</si>
  <si>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</si>
  <si>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</si>
  <si>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</si>
  <si>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</si>
  <si>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</si>
  <si>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</si>
  <si>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</si>
  <si>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</si>
  <si>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</si>
  <si>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</si>
  <si>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</si>
  <si>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</si>
  <si>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</si>
  <si>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</si>
  <si>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</si>
  <si>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</si>
  <si>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</si>
  <si>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</si>
  <si>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</si>
  <si>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</si>
  <si>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</si>
  <si>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</si>
  <si>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</si>
  <si>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</si>
  <si>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</si>
  <si>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</si>
  <si>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</si>
  <si>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</si>
  <si>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</si>
  <si>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</si>
  <si>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</si>
  <si>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</si>
  <si>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</si>
  <si>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</si>
  <si>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</si>
  <si>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</si>
  <si>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</si>
  <si>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</si>
  <si>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</si>
  <si>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</si>
  <si>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</si>
  <si>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</si>
  <si>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</si>
  <si>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</si>
  <si>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</si>
  <si>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</si>
  <si>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</si>
  <si>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</si>
  <si>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</si>
  <si>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</si>
  <si>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</si>
  <si>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</si>
  <si>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</si>
  <si>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</si>
  <si>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</si>
  <si>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</si>
  <si>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</si>
  <si>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</si>
  <si>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</si>
  <si>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</si>
  <si>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</si>
  <si>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</si>
  <si>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</si>
  <si>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</si>
  <si>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</si>
  <si>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</si>
  <si>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</si>
  <si>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</si>
  <si>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</si>
  <si>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</si>
  <si>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</si>
  <si>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</si>
  <si>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</si>
  <si>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</si>
  <si>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</si>
  <si>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</si>
  <si>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</si>
  <si>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</si>
  <si>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</si>
  <si>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</si>
  <si>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</si>
  <si>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</si>
  <si>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</si>
  <si>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</si>
  <si>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</si>
  <si>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</si>
  <si>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</si>
  <si>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</si>
  <si>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</si>
  <si>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</si>
  <si>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</si>
  <si>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</si>
  <si>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</si>
  <si>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</si>
  <si>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</si>
  <si>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</si>
  <si>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</si>
  <si>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</si>
  <si>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</si>
  <si>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</si>
  <si>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</si>
  <si>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</si>
  <si>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</si>
  <si>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</si>
  <si>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</si>
  <si>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</si>
  <si>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</si>
  <si>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</si>
  <si>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</si>
  <si>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</si>
  <si>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</si>
  <si>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</si>
  <si>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</si>
  <si>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</si>
  <si>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</si>
  <si>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</si>
  <si>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</si>
  <si>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</si>
  <si>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</si>
  <si>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</si>
  <si>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</si>
  <si>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</si>
  <si>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</si>
  <si>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</si>
  <si>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</si>
  <si>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</si>
  <si>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</si>
  <si>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</si>
  <si>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</si>
  <si>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</si>
  <si>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</si>
  <si>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</si>
  <si>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</si>
  <si>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</si>
  <si>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</si>
  <si>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</si>
  <si>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</si>
  <si>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</si>
  <si>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</si>
  <si>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</si>
  <si>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</si>
  <si>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</si>
  <si>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</si>
  <si>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</si>
  <si>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</si>
  <si>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</si>
  <si>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</si>
  <si>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</si>
  <si>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</si>
  <si>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</si>
  <si>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</si>
  <si>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</si>
  <si>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</si>
  <si>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</si>
  <si>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</si>
  <si>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</si>
  <si>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</si>
  <si>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</si>
  <si>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</si>
  <si>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</si>
  <si>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</si>
  <si>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</si>
  <si>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</si>
  <si>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</si>
  <si>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</si>
  <si>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</si>
  <si>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</si>
  <si>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</si>
  <si>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</si>
  <si>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</si>
  <si>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</si>
  <si>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</si>
  <si>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</si>
  <si>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</si>
  <si>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</si>
  <si>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</si>
  <si>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</si>
  <si>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</si>
  <si>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</si>
  <si>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</si>
  <si>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</si>
  <si>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</si>
  <si>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</si>
  <si>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</si>
  <si>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</si>
  <si>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</si>
  <si>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</si>
  <si>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</si>
  <si>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</si>
  <si>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</si>
  <si>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</si>
  <si>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</si>
  <si>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</si>
  <si>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</si>
  <si>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</si>
  <si>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</si>
  <si>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</si>
  <si>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</si>
  <si>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</si>
  <si>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</si>
  <si>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</si>
  <si>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</si>
  <si>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</si>
  <si>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</si>
  <si>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</si>
  <si>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</si>
  <si>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</si>
  <si>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</si>
  <si>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</si>
  <si>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</si>
  <si>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</si>
  <si>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</si>
  <si>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</si>
  <si>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</si>
  <si>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</si>
  <si>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</si>
  <si>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</si>
  <si>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</si>
  <si>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</si>
  <si>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</si>
  <si>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</si>
  <si>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</si>
  <si>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</si>
  <si>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</si>
  <si>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</si>
  <si>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</si>
  <si>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</si>
  <si>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</si>
  <si>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</si>
  <si>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</si>
  <si>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</si>
  <si>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</si>
  <si>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</si>
  <si>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</si>
  <si>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</si>
  <si>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</si>
  <si>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</si>
  <si>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</si>
  <si>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</si>
  <si>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</si>
  <si>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</si>
  <si>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</si>
  <si>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</si>
  <si>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</si>
  <si>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</si>
  <si>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</si>
  <si>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</si>
  <si>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</si>
  <si>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</si>
  <si>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</si>
  <si>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</si>
  <si>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</si>
  <si>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</si>
  <si>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</si>
  <si>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</si>
  <si>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</si>
  <si>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</si>
  <si>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</si>
  <si>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</si>
  <si>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</si>
  <si>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</si>
  <si>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</si>
  <si>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</si>
  <si>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</si>
  <si>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</si>
  <si>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</si>
  <si>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</si>
  <si>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</si>
  <si>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</si>
  <si>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</si>
  <si>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</si>
  <si>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</si>
  <si>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</si>
  <si>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</si>
  <si>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</si>
  <si>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</si>
  <si>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</si>
  <si>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</si>
  <si>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</si>
  <si>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</si>
  <si>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</si>
  <si>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</si>
  <si>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</si>
  <si>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</si>
  <si>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</si>
  <si>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</si>
  <si>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</si>
  <si>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</si>
  <si>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</si>
  <si>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</si>
  <si>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</si>
  <si>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</si>
  <si>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</si>
  <si>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</si>
  <si>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</si>
  <si>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</si>
  <si>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</si>
  <si>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</si>
  <si>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</si>
  <si>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</si>
  <si>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</si>
  <si>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</si>
  <si>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</si>
  <si>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</si>
  <si>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</si>
  <si>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</si>
  <si>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</si>
  <si>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</si>
  <si>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</si>
  <si>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</si>
  <si>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</si>
  <si>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</si>
  <si>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</si>
  <si>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</si>
  <si>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</si>
  <si>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</si>
  <si>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</si>
  <si>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</si>
  <si>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</si>
  <si>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</si>
  <si>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</si>
  <si>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</si>
  <si>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</si>
  <si>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</si>
  <si>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</si>
  <si>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</si>
  <si>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</si>
  <si>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</si>
  <si>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</si>
  <si>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</si>
  <si>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</si>
  <si>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</si>
  <si>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</si>
  <si>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</si>
  <si>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</si>
  <si>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</si>
  <si>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</si>
  <si>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</si>
  <si>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</si>
  <si>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</si>
  <si>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</si>
  <si>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</si>
  <si>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</si>
  <si>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</si>
  <si>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</si>
  <si>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</si>
  <si>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</si>
  <si>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</si>
  <si>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</si>
  <si>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</si>
  <si>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</si>
  <si>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</si>
  <si>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</si>
  <si>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</si>
  <si>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</si>
  <si>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</si>
  <si>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</si>
  <si>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</si>
  <si>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</si>
  <si>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</si>
  <si>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</si>
  <si>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</si>
  <si>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</si>
  <si>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</si>
  <si>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</si>
  <si>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</si>
  <si>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</si>
  <si>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</si>
  <si>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</si>
  <si>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</si>
  <si>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</si>
  <si>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</si>
  <si>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</si>
  <si>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</si>
  <si>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</si>
  <si>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</si>
  <si>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</si>
  <si>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</si>
  <si>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</si>
  <si>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</si>
  <si>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</si>
  <si>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</si>
  <si>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</si>
  <si>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</si>
  <si>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</si>
  <si>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</si>
  <si>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</si>
  <si>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</si>
  <si>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</si>
  <si>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</si>
  <si>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</si>
  <si>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</si>
  <si>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</si>
  <si>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</si>
  <si>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</si>
  <si>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</si>
  <si>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</si>
  <si>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</si>
  <si>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</si>
  <si>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</si>
  <si>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</si>
  <si>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</si>
  <si>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</si>
  <si>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</si>
  <si>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</si>
  <si>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</si>
  <si>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</si>
  <si>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</si>
  <si>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</si>
  <si>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</si>
  <si>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</si>
  <si>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</si>
  <si>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</si>
  <si>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</si>
  <si>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</si>
  <si>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</si>
  <si>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</si>
  <si>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</si>
  <si>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</si>
  <si>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</si>
  <si>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</si>
  <si>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</si>
  <si>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</si>
  <si>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</si>
  <si>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</si>
  <si>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</si>
  <si>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</si>
  <si>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</si>
  <si>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</si>
  <si>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</si>
  <si>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</si>
  <si>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</si>
  <si>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</si>
  <si>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</si>
  <si>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</si>
  <si>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</si>
  <si>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</si>
  <si>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</si>
  <si>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</si>
  <si>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</si>
  <si>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</si>
  <si>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</si>
  <si>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</si>
  <si>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</si>
  <si>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</si>
  <si>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</si>
  <si>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</si>
  <si>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</si>
  <si>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</si>
  <si>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</si>
  <si>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</si>
  <si>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</si>
  <si>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</si>
  <si>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</si>
  <si>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</si>
  <si>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</si>
  <si>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</si>
  <si>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</si>
  <si>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</si>
  <si>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</si>
  <si>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</si>
  <si>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</si>
  <si>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</si>
  <si>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</si>
  <si>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</si>
  <si>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</si>
  <si>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</si>
  <si>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</si>
  <si>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</si>
  <si>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</si>
  <si>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</si>
  <si>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</si>
  <si>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</si>
  <si>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</si>
  <si>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</si>
  <si>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</si>
  <si>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</si>
  <si>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</si>
  <si>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</si>
  <si>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</si>
  <si>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</si>
  <si>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</si>
  <si>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</si>
  <si>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</si>
  <si>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</si>
  <si>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</si>
  <si>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</si>
  <si>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</si>
  <si>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</si>
  <si>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</si>
  <si>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</si>
  <si>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</si>
  <si>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</si>
  <si>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</si>
  <si>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</si>
  <si>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</si>
  <si>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</si>
  <si>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</si>
  <si>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</si>
  <si>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</si>
  <si>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</si>
  <si>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</si>
  <si>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</si>
  <si>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</si>
  <si>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</si>
  <si>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</si>
  <si>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</si>
  <si>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</si>
  <si>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</si>
  <si>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</si>
  <si>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</si>
  <si>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</si>
  <si>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</si>
  <si>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</si>
  <si>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</si>
  <si>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</si>
  <si>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</si>
  <si>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</si>
  <si>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</si>
  <si>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</si>
  <si>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</si>
  <si>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</si>
  <si>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</si>
  <si>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</si>
  <si>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</si>
  <si>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</si>
  <si>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</si>
  <si>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</si>
  <si>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</si>
  <si>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</si>
  <si>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</si>
  <si>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</si>
  <si>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</si>
  <si>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</si>
  <si>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</si>
  <si>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</si>
  <si>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</si>
  <si>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</si>
  <si>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</si>
  <si>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</si>
  <si>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</si>
  <si>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</si>
  <si>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</si>
  <si>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</si>
  <si>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</si>
  <si>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</si>
  <si>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</si>
  <si>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</si>
  <si>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</si>
  <si>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</si>
  <si>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</si>
  <si>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</si>
  <si>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</si>
  <si>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</si>
  <si>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</si>
  <si>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</si>
  <si>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</si>
  <si>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</si>
  <si>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</si>
  <si>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</si>
  <si>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</si>
  <si>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</si>
  <si>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</si>
  <si>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</si>
  <si>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</si>
  <si>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</si>
  <si>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</si>
  <si>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</si>
  <si>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</si>
  <si>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</si>
  <si>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</si>
  <si>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</si>
  <si>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</si>
  <si>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</si>
  <si>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</si>
  <si>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</si>
  <si>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</si>
  <si>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</si>
  <si>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</si>
  <si>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</si>
  <si>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</si>
  <si>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</si>
  <si>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</si>
  <si>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</si>
  <si>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</si>
  <si>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</si>
  <si>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</si>
  <si>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</si>
  <si>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</si>
  <si>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</si>
  <si>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</si>
  <si>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</si>
  <si>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</si>
  <si>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</si>
  <si>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</si>
  <si>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</si>
  <si>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</si>
  <si>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</si>
  <si>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</si>
  <si>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</si>
  <si>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</si>
  <si>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</si>
  <si>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</si>
  <si>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</si>
  <si>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</si>
  <si>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</si>
  <si>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</si>
  <si>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</si>
  <si>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</si>
  <si>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</si>
  <si>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</si>
  <si>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</si>
  <si>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</si>
  <si>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</si>
  <si>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</si>
  <si>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</si>
  <si>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</si>
  <si>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</si>
  <si>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</si>
  <si>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</si>
  <si>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</si>
  <si>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</si>
  <si>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</si>
  <si>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</si>
  <si>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</si>
  <si>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</si>
  <si>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</si>
  <si>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</si>
  <si>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</si>
  <si>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</si>
  <si>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</si>
  <si>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</si>
  <si>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</si>
  <si>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</si>
  <si>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</si>
  <si>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</si>
  <si>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</si>
  <si>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</si>
  <si>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</si>
  <si>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</si>
  <si>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</si>
  <si>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</si>
  <si>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</si>
  <si>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</si>
  <si>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</si>
  <si>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</si>
  <si>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</si>
  <si>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</si>
  <si>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</si>
  <si>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</si>
  <si>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</si>
  <si>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</si>
  <si>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</si>
  <si>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</si>
  <si>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</si>
  <si>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</si>
  <si>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</si>
  <si>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</si>
  <si>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</si>
  <si>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</si>
  <si>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</si>
  <si>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</si>
  <si>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</si>
  <si>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</si>
  <si>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</si>
  <si>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</si>
  <si>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</si>
  <si>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</si>
  <si>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</si>
  <si>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</si>
  <si>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</si>
  <si>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</si>
  <si>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</si>
  <si>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</si>
  <si>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</si>
  <si>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</si>
  <si>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</si>
  <si>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</si>
  <si>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</si>
  <si>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</si>
  <si>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</si>
  <si>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</si>
  <si>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</si>
  <si>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</si>
  <si>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</si>
  <si>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</si>
  <si>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</si>
  <si>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</si>
  <si>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</si>
  <si>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</si>
  <si>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</si>
  <si>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</si>
  <si>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</si>
  <si>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</si>
  <si>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</si>
  <si>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</si>
  <si>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</si>
  <si>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</si>
  <si>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</si>
  <si>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</si>
  <si>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</si>
  <si>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</si>
  <si>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</si>
  <si>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</si>
  <si>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</si>
  <si>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</si>
  <si>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</si>
  <si>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</si>
  <si>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</si>
  <si>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</si>
  <si>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</si>
  <si>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</si>
  <si>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</si>
  <si>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</si>
  <si>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</si>
  <si>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</si>
  <si>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</si>
  <si>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</si>
  <si>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</si>
  <si>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</si>
  <si>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</si>
  <si>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</si>
  <si>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</si>
  <si>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</si>
  <si>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</si>
  <si>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</si>
  <si>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</si>
  <si>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</si>
  <si>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</si>
  <si>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</si>
  <si>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</si>
  <si>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</si>
  <si>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</si>
  <si>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</si>
  <si>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</si>
  <si>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</si>
  <si>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</si>
  <si>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</si>
  <si>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</si>
  <si>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</si>
  <si>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</si>
  <si>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</si>
  <si>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</si>
  <si>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</si>
  <si>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</si>
  <si>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</si>
  <si>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</si>
  <si>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</si>
  <si>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</si>
  <si>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</si>
  <si>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</si>
  <si>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</si>
  <si>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</si>
  <si>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</si>
  <si>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</si>
  <si>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</si>
  <si>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</si>
  <si>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Grupo Agroindustrial Numar S.A</t>
  </si>
  <si>
    <t>22841000</t>
  </si>
  <si>
    <t>recepcion@numar.net</t>
  </si>
  <si>
    <t>CONTADO</t>
  </si>
  <si>
    <t>CJ</t>
  </si>
  <si>
    <t>Os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</si>
  <si>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</si>
  <si>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</si>
  <si>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</si>
  <si>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</si>
  <si>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</si>
  <si>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</si>
  <si>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</si>
  <si>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</si>
  <si>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</si>
  <si>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</si>
  <si>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</si>
  <si>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</si>
  <si>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</si>
  <si>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</si>
  <si>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</si>
  <si>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</si>
  <si>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</si>
  <si>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</si>
  <si>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</si>
  <si>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</si>
  <si>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</si>
  <si>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</si>
  <si>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</si>
  <si>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</si>
  <si>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</si>
  <si>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</si>
  <si>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</si>
  <si>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IdSubcategoria</t>
  </si>
  <si>
    <t>IdCatprincipal</t>
  </si>
  <si>
    <t>IdSubCategoria2</t>
  </si>
  <si>
    <t>SubCategoriaDescr</t>
  </si>
  <si>
    <t>lookup</t>
  </si>
  <si>
    <t>C:\Users\MinorGomezViales\Documents\Min\factura</t>
  </si>
  <si>
    <t>Folder</t>
  </si>
  <si>
    <t>Instamasa S.A.</t>
  </si>
  <si>
    <t>24391717</t>
  </si>
  <si>
    <t>info@instamasa.com</t>
  </si>
  <si>
    <t>0</t>
  </si>
  <si>
    <t>-</t>
  </si>
  <si>
    <t>231200000050051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</si>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</sst>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  <family val="2"/>
    </font>
    <font>
      <sz val="11"/>
      <color indexed="8"/>
      <name val="Aptos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10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15" fontId="0" fillId="0" borderId="0" xfId="0" applyNumberFormat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</cellXfs>
  <cellStyles count="2">
    <cellStyle name="Normal" xfId="0" builtinId="0"/>
    <cellStyle name="Normal_categorias" xfId="1" xr:uid="{D2102C77-36DB-4300-AD90-B6D5CB363F8F}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or Gomez Viales" refreshedDate="45509.782258449071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"/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/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n v="12"/>
    <s v="Limpieza"/>
    <x v="0"/>
    <s v="Accesorios para limpieza"/>
    <x v="0"/>
    <x v="0"/>
    <s v="1211"/>
    <n v="1"/>
  </r>
  <r>
    <n v="12"/>
    <s v="Limpieza"/>
    <x v="0"/>
    <s v="Accesorios para limpieza"/>
    <x v="1"/>
    <x v="1"/>
    <s v="1212"/>
    <n v="1"/>
  </r>
  <r>
    <n v="12"/>
    <s v="Limpieza"/>
    <x v="0"/>
    <s v="Accesorios para limpieza"/>
    <x v="2"/>
    <x v="2"/>
    <s v="1213"/>
    <n v="1"/>
  </r>
  <r>
    <n v="12"/>
    <s v="Limpieza"/>
    <x v="0"/>
    <s v="Accesorios para limpieza"/>
    <x v="3"/>
    <x v="3"/>
    <s v="1214"/>
    <n v="1"/>
  </r>
  <r>
    <n v="12"/>
    <s v="Limpieza"/>
    <x v="0"/>
    <s v="Accesorios para limpieza"/>
    <x v="4"/>
    <x v="4"/>
    <s v="1215"/>
    <n v="1"/>
  </r>
  <r>
    <n v="13"/>
    <s v="Mascota"/>
    <x v="1"/>
    <s v="Accesorios para Perros"/>
    <x v="0"/>
    <x v="5"/>
    <s v="1321"/>
    <n v="2"/>
  </r>
  <r>
    <n v="1"/>
    <s v="Abarrotes"/>
    <x v="2"/>
    <s v="Aceites de cocina"/>
    <x v="0"/>
    <x v="6"/>
    <s v="131"/>
    <n v="3"/>
  </r>
  <r>
    <n v="1"/>
    <s v="Abarrotes"/>
    <x v="2"/>
    <s v="Aceites de cocina"/>
    <x v="1"/>
    <x v="7"/>
    <s v="132"/>
    <n v="3"/>
  </r>
  <r>
    <n v="1"/>
    <s v="Abarrotes"/>
    <x v="2"/>
    <s v="Aceites de cocina"/>
    <x v="2"/>
    <x v="8"/>
    <s v="133"/>
    <n v="3"/>
  </r>
  <r>
    <n v="1"/>
    <s v="Abarrotes"/>
    <x v="2"/>
    <s v="Aceites de cocina"/>
    <x v="3"/>
    <x v="9"/>
    <s v="134"/>
    <n v="3"/>
  </r>
  <r>
    <n v="1"/>
    <s v="Abarrotes"/>
    <x v="2"/>
    <s v="Aceites de cocina"/>
    <x v="4"/>
    <x v="10"/>
    <s v="135"/>
    <n v="3"/>
  </r>
  <r>
    <n v="9"/>
    <s v="Higiene y Belleza"/>
    <x v="3"/>
    <s v="Afeitado"/>
    <x v="0"/>
    <x v="11"/>
    <s v="941"/>
    <n v="4"/>
  </r>
  <r>
    <n v="9"/>
    <s v="Higiene y Belleza"/>
    <x v="3"/>
    <s v="Afeitado"/>
    <x v="1"/>
    <x v="12"/>
    <s v="942"/>
    <n v="4"/>
  </r>
  <r>
    <n v="10"/>
    <s v="Jugos y Bebidas"/>
    <x v="4"/>
    <s v="Agua"/>
    <x v="0"/>
    <x v="13"/>
    <s v="1051"/>
    <n v="5"/>
  </r>
  <r>
    <n v="10"/>
    <s v="Jugos y Bebidas"/>
    <x v="4"/>
    <s v="Agua"/>
    <x v="1"/>
    <x v="14"/>
    <s v="1052"/>
    <n v="5"/>
  </r>
  <r>
    <n v="13"/>
    <s v="Mascota"/>
    <x v="5"/>
    <s v="Alimento Humedo para Gatos"/>
    <x v="0"/>
    <x v="5"/>
    <s v="1361"/>
    <n v="6"/>
  </r>
  <r>
    <n v="13"/>
    <s v="Mascota"/>
    <x v="6"/>
    <s v="Alimento Humedo para Perros"/>
    <x v="0"/>
    <x v="5"/>
    <s v="1371"/>
    <n v="7"/>
  </r>
  <r>
    <n v="13"/>
    <s v="Mascota"/>
    <x v="7"/>
    <s v="Alimento seco para Gatos"/>
    <x v="0"/>
    <x v="5"/>
    <s v="1381"/>
    <n v="8"/>
  </r>
  <r>
    <n v="13"/>
    <s v="Mascota"/>
    <x v="8"/>
    <s v="Alimento seco para Perros"/>
    <x v="0"/>
    <x v="5"/>
    <s v="1391"/>
    <n v="9"/>
  </r>
  <r>
    <n v="13"/>
    <s v="Mascota"/>
    <x v="9"/>
    <s v="Alimento y accesorios otras Mascotas"/>
    <x v="0"/>
    <x v="5"/>
    <s v="13101"/>
    <n v="10"/>
  </r>
  <r>
    <n v="1"/>
    <s v="Abarrotes"/>
    <x v="10"/>
    <s v="Alimentos Instantáneos"/>
    <x v="0"/>
    <x v="15"/>
    <s v="1111"/>
    <n v="11"/>
  </r>
  <r>
    <n v="1"/>
    <s v="Abarrotes"/>
    <x v="10"/>
    <s v="Alimentos Instantáneos"/>
    <x v="1"/>
    <x v="16"/>
    <s v="1112"/>
    <n v="11"/>
  </r>
  <r>
    <n v="1"/>
    <s v="Abarrotes"/>
    <x v="10"/>
    <s v="Alimentos Instantáneos"/>
    <x v="2"/>
    <x v="17"/>
    <s v="1113"/>
    <n v="11"/>
  </r>
  <r>
    <n v="1"/>
    <s v="Abarrotes"/>
    <x v="10"/>
    <s v="Alimentos Instantáneos"/>
    <x v="3"/>
    <x v="18"/>
    <s v="1114"/>
    <n v="11"/>
  </r>
  <r>
    <n v="7"/>
    <s v="Farmacia"/>
    <x v="11"/>
    <s v="Analgésicos"/>
    <x v="0"/>
    <x v="19"/>
    <s v="7121"/>
    <n v="12"/>
  </r>
  <r>
    <n v="7"/>
    <s v="Farmacia"/>
    <x v="11"/>
    <s v="Analgésicos"/>
    <x v="1"/>
    <x v="20"/>
    <s v="7122"/>
    <n v="12"/>
  </r>
  <r>
    <n v="7"/>
    <s v="Farmacia"/>
    <x v="12"/>
    <s v="Antibiótico"/>
    <x v="0"/>
    <x v="5"/>
    <s v="7131"/>
    <n v="13"/>
  </r>
  <r>
    <n v="7"/>
    <s v="Farmacia"/>
    <x v="13"/>
    <s v="Anticonceptivos, hormonal y salud sexual"/>
    <x v="0"/>
    <x v="5"/>
    <s v="7141"/>
    <n v="14"/>
  </r>
  <r>
    <n v="7"/>
    <s v="Farmacia"/>
    <x v="14"/>
    <s v="Antimicótico"/>
    <x v="0"/>
    <x v="5"/>
    <s v="7151"/>
    <n v="15"/>
  </r>
  <r>
    <n v="7"/>
    <s v="Farmacia"/>
    <x v="15"/>
    <s v="Antiviral, gripe y tos"/>
    <x v="0"/>
    <x v="5"/>
    <s v="7161"/>
    <n v="16"/>
  </r>
  <r>
    <n v="13"/>
    <s v="Mascota"/>
    <x v="16"/>
    <s v="Arena y Accesorios para Gatos"/>
    <x v="0"/>
    <x v="5"/>
    <s v="13171"/>
    <n v="17"/>
  </r>
  <r>
    <n v="12"/>
    <s v="Limpieza"/>
    <x v="17"/>
    <s v="Aromatizantes"/>
    <x v="0"/>
    <x v="21"/>
    <s v="12181"/>
    <n v="18"/>
  </r>
  <r>
    <n v="12"/>
    <s v="Limpieza"/>
    <x v="17"/>
    <s v="Aromatizantes"/>
    <x v="1"/>
    <x v="22"/>
    <s v="12182"/>
    <n v="18"/>
  </r>
  <r>
    <n v="1"/>
    <s v="Abarrotes"/>
    <x v="18"/>
    <s v="Arroz, Frijol y Semillas"/>
    <x v="0"/>
    <x v="23"/>
    <s v="1191"/>
    <n v="19"/>
  </r>
  <r>
    <n v="1"/>
    <s v="Abarrotes"/>
    <x v="18"/>
    <s v="Arroz, Frijol y Semillas"/>
    <x v="1"/>
    <x v="24"/>
    <s v="1192"/>
    <n v="19"/>
  </r>
  <r>
    <n v="1"/>
    <s v="Abarrotes"/>
    <x v="18"/>
    <s v="Arroz, Frijol y Semillas"/>
    <x v="2"/>
    <x v="25"/>
    <s v="1193"/>
    <n v="19"/>
  </r>
  <r>
    <n v="1"/>
    <s v="Abarrotes"/>
    <x v="18"/>
    <s v="Arroz, Frijol y Semillas"/>
    <x v="3"/>
    <x v="26"/>
    <s v="1194"/>
    <n v="19"/>
  </r>
  <r>
    <n v="3"/>
    <s v="Bebes y Niños"/>
    <x v="19"/>
    <s v="Artículos para fiesta"/>
    <x v="0"/>
    <x v="27"/>
    <s v="3201"/>
    <n v="20"/>
  </r>
  <r>
    <n v="3"/>
    <s v="Bebes y Niños"/>
    <x v="19"/>
    <s v="Artículos para fiesta"/>
    <x v="1"/>
    <x v="28"/>
    <s v="3202"/>
    <n v="20"/>
  </r>
  <r>
    <n v="3"/>
    <s v="Bebes y Niños"/>
    <x v="19"/>
    <s v="Artículos para fiesta"/>
    <x v="2"/>
    <x v="29"/>
    <s v="3203"/>
    <n v="20"/>
  </r>
  <r>
    <n v="3"/>
    <s v="Bebes y Niños"/>
    <x v="19"/>
    <s v="Artículos para fiesta"/>
    <x v="3"/>
    <x v="30"/>
    <s v="3204"/>
    <n v="20"/>
  </r>
  <r>
    <n v="3"/>
    <s v="Bebes y Niños"/>
    <x v="19"/>
    <s v="Artículos para fiesta"/>
    <x v="4"/>
    <x v="31"/>
    <s v="3205"/>
    <n v="20"/>
  </r>
  <r>
    <n v="3"/>
    <s v="Bebes y Niños"/>
    <x v="19"/>
    <s v="Artículos para fiesta"/>
    <x v="5"/>
    <x v="32"/>
    <s v="3206"/>
    <n v="20"/>
  </r>
  <r>
    <n v="7"/>
    <s v="Farmacia"/>
    <x v="20"/>
    <s v="Asma, alergias y nasal"/>
    <x v="0"/>
    <x v="5"/>
    <s v="7211"/>
    <n v="21"/>
  </r>
  <r>
    <n v="1"/>
    <s v="Abarrotes"/>
    <x v="21"/>
    <s v="Azúcar y Postres"/>
    <x v="0"/>
    <x v="33"/>
    <s v="1221"/>
    <n v="22"/>
  </r>
  <r>
    <n v="1"/>
    <s v="Abarrotes"/>
    <x v="21"/>
    <s v="Azúcar y Postres"/>
    <x v="1"/>
    <x v="34"/>
    <s v="1222"/>
    <n v="22"/>
  </r>
  <r>
    <n v="1"/>
    <s v="Abarrotes"/>
    <x v="21"/>
    <s v="Azúcar y Postres"/>
    <x v="2"/>
    <x v="35"/>
    <s v="1223"/>
    <n v="22"/>
  </r>
  <r>
    <n v="1"/>
    <s v="Abarrotes"/>
    <x v="21"/>
    <s v="Azúcar y Postres"/>
    <x v="3"/>
    <x v="36"/>
    <s v="1224"/>
    <n v="22"/>
  </r>
  <r>
    <n v="7"/>
    <s v="Farmacia"/>
    <x v="22"/>
    <s v="Bienestar Sexual"/>
    <x v="0"/>
    <x v="37"/>
    <s v="7231"/>
    <n v="23"/>
  </r>
  <r>
    <n v="7"/>
    <s v="Farmacia"/>
    <x v="22"/>
    <s v="Bienestar Sexual"/>
    <x v="1"/>
    <x v="38"/>
    <s v="7232"/>
    <n v="23"/>
  </r>
  <r>
    <n v="7"/>
    <s v="Farmacia"/>
    <x v="22"/>
    <s v="Bienestar Sexual"/>
    <x v="2"/>
    <x v="39"/>
    <s v="7233"/>
    <n v="23"/>
  </r>
  <r>
    <n v="7"/>
    <s v="Farmacia"/>
    <x v="23"/>
    <s v="Bienestar, equipo médico y soluciones hospitalarias"/>
    <x v="0"/>
    <x v="5"/>
    <s v="7241"/>
    <n v="24"/>
  </r>
  <r>
    <n v="10"/>
    <s v="Jugos y Bebidas"/>
    <x v="24"/>
    <s v="Café y Te preparado"/>
    <x v="0"/>
    <x v="40"/>
    <s v="10251"/>
    <n v="25"/>
  </r>
  <r>
    <n v="10"/>
    <s v="Jugos y Bebidas"/>
    <x v="24"/>
    <s v="Café y Te preparado"/>
    <x v="1"/>
    <x v="41"/>
    <s v="10252"/>
    <n v="25"/>
  </r>
  <r>
    <n v="1"/>
    <s v="Abarrotes"/>
    <x v="25"/>
    <s v="Café, Té y Sustitutos"/>
    <x v="0"/>
    <x v="42"/>
    <s v="1261"/>
    <n v="26"/>
  </r>
  <r>
    <n v="1"/>
    <s v="Abarrotes"/>
    <x v="25"/>
    <s v="Café, Té y Sustitutos"/>
    <x v="1"/>
    <x v="43"/>
    <s v="1262"/>
    <n v="26"/>
  </r>
  <r>
    <n v="1"/>
    <s v="Abarrotes"/>
    <x v="25"/>
    <s v="Café, Té y Sustitutos"/>
    <x v="2"/>
    <x v="44"/>
    <s v="1263"/>
    <n v="26"/>
  </r>
  <r>
    <n v="1"/>
    <s v="Abarrotes"/>
    <x v="25"/>
    <s v="Café, Té y Sustitutos"/>
    <x v="3"/>
    <x v="45"/>
    <s v="1264"/>
    <n v="26"/>
  </r>
  <r>
    <n v="1"/>
    <s v="Abarrotes"/>
    <x v="25"/>
    <s v="Café, Té y Sustitutos"/>
    <x v="4"/>
    <x v="46"/>
    <s v="1265"/>
    <n v="26"/>
  </r>
  <r>
    <n v="1"/>
    <s v="Abarrotes"/>
    <x v="25"/>
    <s v="Café, Té y Sustitutos"/>
    <x v="5"/>
    <x v="47"/>
    <s v="1266"/>
    <n v="26"/>
  </r>
  <r>
    <n v="7"/>
    <s v="Farmacia"/>
    <x v="26"/>
    <s v="Cardiovascular &amp; Hipertensivo"/>
    <x v="0"/>
    <x v="5"/>
    <s v="7271"/>
    <n v="27"/>
  </r>
  <r>
    <n v="6"/>
    <s v="Embutidos"/>
    <x v="27"/>
    <s v="Carnes frías"/>
    <x v="0"/>
    <x v="48"/>
    <s v="6281"/>
    <n v="28"/>
  </r>
  <r>
    <n v="6"/>
    <s v="Embutidos"/>
    <x v="27"/>
    <s v="Carnes frías"/>
    <x v="1"/>
    <x v="49"/>
    <s v="6282"/>
    <n v="28"/>
  </r>
  <r>
    <n v="6"/>
    <s v="Embutidos"/>
    <x v="27"/>
    <s v="Carnes frías"/>
    <x v="2"/>
    <x v="50"/>
    <s v="6283"/>
    <n v="28"/>
  </r>
  <r>
    <n v="6"/>
    <s v="Embutidos"/>
    <x v="27"/>
    <s v="Carnes frías"/>
    <x v="3"/>
    <x v="51"/>
    <s v="6284"/>
    <n v="28"/>
  </r>
  <r>
    <n v="6"/>
    <s v="Embutidos"/>
    <x v="27"/>
    <s v="Carnes frías"/>
    <x v="4"/>
    <x v="52"/>
    <s v="6285"/>
    <n v="28"/>
  </r>
  <r>
    <n v="6"/>
    <s v="Embutidos"/>
    <x v="27"/>
    <s v="Carnes frías"/>
    <x v="5"/>
    <x v="53"/>
    <s v="6286"/>
    <n v="28"/>
  </r>
  <r>
    <n v="6"/>
    <s v="Embutidos"/>
    <x v="27"/>
    <s v="Carnes frías"/>
    <x v="6"/>
    <x v="54"/>
    <s v="6287"/>
    <n v="28"/>
  </r>
  <r>
    <n v="4"/>
    <s v="Carnes y Pescados"/>
    <x v="28"/>
    <s v="Cerdo"/>
    <x v="0"/>
    <x v="55"/>
    <s v="4291"/>
    <n v="29"/>
  </r>
  <r>
    <n v="1"/>
    <s v="Abarrotes"/>
    <x v="29"/>
    <s v="Cereales y Barras"/>
    <x v="0"/>
    <x v="56"/>
    <s v="1301"/>
    <n v="30"/>
  </r>
  <r>
    <n v="1"/>
    <s v="Abarrotes"/>
    <x v="29"/>
    <s v="Cereales y Barras"/>
    <x v="1"/>
    <x v="57"/>
    <s v="1302"/>
    <n v="30"/>
  </r>
  <r>
    <n v="1"/>
    <s v="Abarrotes"/>
    <x v="29"/>
    <s v="Cereales y Barras"/>
    <x v="2"/>
    <x v="58"/>
    <s v="1303"/>
    <n v="30"/>
  </r>
  <r>
    <n v="1"/>
    <s v="Abarrotes"/>
    <x v="29"/>
    <s v="Cereales y Barras"/>
    <x v="3"/>
    <x v="59"/>
    <s v="1304"/>
    <n v="30"/>
  </r>
  <r>
    <n v="5"/>
    <s v="Cervezas, Vinos y Licores"/>
    <x v="30"/>
    <s v="Cervezas"/>
    <x v="0"/>
    <x v="60"/>
    <s v="5311"/>
    <n v="31"/>
  </r>
  <r>
    <n v="7"/>
    <s v="Farmacia"/>
    <x v="31"/>
    <s v="Colesterol y Triglicérido"/>
    <x v="0"/>
    <x v="5"/>
    <s v="7321"/>
    <n v="32"/>
  </r>
  <r>
    <n v="12"/>
    <s v="Limpieza"/>
    <x v="32"/>
    <s v="Colorantes y Almidones"/>
    <x v="0"/>
    <x v="61"/>
    <s v="12331"/>
    <n v="33"/>
  </r>
  <r>
    <n v="2"/>
    <s v="Alimentos Congelados"/>
    <x v="33"/>
    <s v="Comida Fácil"/>
    <x v="0"/>
    <x v="62"/>
    <s v="2341"/>
    <n v="34"/>
  </r>
  <r>
    <n v="2"/>
    <s v="Alimentos Congelados"/>
    <x v="33"/>
    <s v="Comida Fácil"/>
    <x v="1"/>
    <x v="63"/>
    <s v="2342"/>
    <n v="34"/>
  </r>
  <r>
    <n v="2"/>
    <s v="Alimentos Congelados"/>
    <x v="33"/>
    <s v="Comida Fácil"/>
    <x v="2"/>
    <x v="64"/>
    <s v="2343"/>
    <n v="34"/>
  </r>
  <r>
    <n v="2"/>
    <s v="Alimentos Congelados"/>
    <x v="33"/>
    <s v="Comida Fácil"/>
    <x v="3"/>
    <x v="65"/>
    <s v="2344"/>
    <n v="34"/>
  </r>
  <r>
    <n v="2"/>
    <s v="Alimentos Congelados"/>
    <x v="33"/>
    <s v="Comida Fácil"/>
    <x v="4"/>
    <x v="66"/>
    <s v="2345"/>
    <n v="34"/>
  </r>
  <r>
    <n v="3"/>
    <s v="Bebes y Niños"/>
    <x v="34"/>
    <s v="Comida para bebé y lactancia"/>
    <x v="0"/>
    <x v="67"/>
    <s v="3351"/>
    <n v="35"/>
  </r>
  <r>
    <n v="3"/>
    <s v="Bebes y Niños"/>
    <x v="34"/>
    <s v="Comida para bebé y lactancia"/>
    <x v="1"/>
    <x v="68"/>
    <s v="3352"/>
    <n v="35"/>
  </r>
  <r>
    <n v="3"/>
    <s v="Bebes y Niños"/>
    <x v="34"/>
    <s v="Comida para bebé y lactancia"/>
    <x v="2"/>
    <x v="69"/>
    <s v="3353"/>
    <n v="35"/>
  </r>
  <r>
    <n v="3"/>
    <s v="Bebes y Niños"/>
    <x v="34"/>
    <s v="Comida para bebé y lactancia"/>
    <x v="3"/>
    <x v="70"/>
    <s v="3354"/>
    <n v="35"/>
  </r>
  <r>
    <n v="3"/>
    <s v="Bebes y Niños"/>
    <x v="34"/>
    <s v="Comida para bebé y lactancia"/>
    <x v="4"/>
    <x v="71"/>
    <s v="3355"/>
    <n v="35"/>
  </r>
  <r>
    <n v="3"/>
    <s v="Bebes y Niños"/>
    <x v="34"/>
    <s v="Comida para bebé y lactancia"/>
    <x v="5"/>
    <x v="72"/>
    <s v="3356"/>
    <n v="35"/>
  </r>
  <r>
    <n v="3"/>
    <s v="Bebes y Niños"/>
    <x v="34"/>
    <s v="Comida para bebé y lactancia"/>
    <x v="6"/>
    <x v="73"/>
    <s v="3357"/>
    <n v="35"/>
  </r>
  <r>
    <n v="3"/>
    <s v="Bebes y Niños"/>
    <x v="34"/>
    <s v="Comida para bebé y lactancia"/>
    <x v="7"/>
    <x v="74"/>
    <s v="3358"/>
    <n v="35"/>
  </r>
  <r>
    <n v="3"/>
    <s v="Bebes y Niños"/>
    <x v="34"/>
    <s v="Comida para bebé y lactancia"/>
    <x v="8"/>
    <x v="75"/>
    <s v="3359"/>
    <n v="35"/>
  </r>
  <r>
    <n v="14"/>
    <s v="Panadería y tortillería"/>
    <x v="35"/>
    <s v="Comida y Snacks"/>
    <x v="0"/>
    <x v="76"/>
    <s v="14361"/>
    <n v="36"/>
  </r>
  <r>
    <n v="14"/>
    <s v="Panadería y tortillería"/>
    <x v="35"/>
    <s v="Comida y Snacks"/>
    <x v="1"/>
    <x v="77"/>
    <s v="14362"/>
    <n v="36"/>
  </r>
  <r>
    <n v="5"/>
    <s v="Cervezas, Vinos y Licores"/>
    <x v="36"/>
    <s v="Coolers"/>
    <x v="0"/>
    <x v="78"/>
    <s v="5371"/>
    <n v="37"/>
  </r>
  <r>
    <n v="9"/>
    <s v="Higiene y Belleza"/>
    <x v="37"/>
    <s v="Cosméticos"/>
    <x v="0"/>
    <x v="79"/>
    <s v="9381"/>
    <n v="38"/>
  </r>
  <r>
    <n v="9"/>
    <s v="Higiene y Belleza"/>
    <x v="37"/>
    <s v="Cosméticos"/>
    <x v="1"/>
    <x v="80"/>
    <s v="9382"/>
    <n v="38"/>
  </r>
  <r>
    <n v="9"/>
    <s v="Higiene y Belleza"/>
    <x v="37"/>
    <s v="Cosméticos"/>
    <x v="2"/>
    <x v="81"/>
    <s v="9383"/>
    <n v="38"/>
  </r>
  <r>
    <n v="9"/>
    <s v="Higiene y Belleza"/>
    <x v="37"/>
    <s v="Cosméticos"/>
    <x v="3"/>
    <x v="82"/>
    <s v="9384"/>
    <n v="38"/>
  </r>
  <r>
    <n v="9"/>
    <s v="Higiene y Belleza"/>
    <x v="37"/>
    <s v="Cosméticos"/>
    <x v="4"/>
    <x v="83"/>
    <s v="9385"/>
    <n v="38"/>
  </r>
  <r>
    <n v="9"/>
    <s v="Higiene y Belleza"/>
    <x v="37"/>
    <s v="Cosméticos"/>
    <x v="5"/>
    <x v="84"/>
    <s v="9386"/>
    <n v="38"/>
  </r>
  <r>
    <n v="9"/>
    <s v="Higiene y Belleza"/>
    <x v="37"/>
    <s v="Cosméticos"/>
    <x v="6"/>
    <x v="85"/>
    <s v="9387"/>
    <n v="38"/>
  </r>
  <r>
    <n v="9"/>
    <s v="Higiene y Belleza"/>
    <x v="37"/>
    <s v="Cosméticos"/>
    <x v="7"/>
    <x v="86"/>
    <s v="9388"/>
    <n v="38"/>
  </r>
  <r>
    <n v="9"/>
    <s v="Higiene y Belleza"/>
    <x v="37"/>
    <s v="Cosméticos"/>
    <x v="8"/>
    <x v="87"/>
    <s v="9389"/>
    <n v="38"/>
  </r>
  <r>
    <n v="9"/>
    <s v="Higiene y Belleza"/>
    <x v="37"/>
    <s v="Cosméticos"/>
    <x v="9"/>
    <x v="88"/>
    <s v="93810"/>
    <n v="38"/>
  </r>
  <r>
    <n v="11"/>
    <s v="Lacteos"/>
    <x v="38"/>
    <s v="Crema o Natilla"/>
    <x v="0"/>
    <x v="89"/>
    <s v="11391"/>
    <n v="39"/>
  </r>
  <r>
    <n v="9"/>
    <s v="Higiene y Belleza"/>
    <x v="39"/>
    <s v="Cuidado Bucal"/>
    <x v="5"/>
    <x v="90"/>
    <s v="9406"/>
    <n v="40"/>
  </r>
  <r>
    <n v="9"/>
    <s v="Higiene y Belleza"/>
    <x v="39"/>
    <s v="Cuidado Bucal"/>
    <x v="6"/>
    <x v="91"/>
    <s v="9407"/>
    <n v="40"/>
  </r>
  <r>
    <n v="9"/>
    <s v="Higiene y Belleza"/>
    <x v="39"/>
    <s v="Cuidado Bucal"/>
    <x v="7"/>
    <x v="92"/>
    <s v="9408"/>
    <n v="40"/>
  </r>
  <r>
    <n v="9"/>
    <s v="Higiene y Belleza"/>
    <x v="39"/>
    <s v="Cuidado Bucal"/>
    <x v="8"/>
    <x v="93"/>
    <s v="9409"/>
    <n v="40"/>
  </r>
  <r>
    <n v="9"/>
    <s v="Higiene y Belleza"/>
    <x v="39"/>
    <s v="Cuidado Bucal"/>
    <x v="9"/>
    <x v="94"/>
    <s v="94010"/>
    <n v="40"/>
  </r>
  <r>
    <n v="7"/>
    <s v="Farmacia"/>
    <x v="40"/>
    <s v="Cuidado de los Pies"/>
    <x v="0"/>
    <x v="95"/>
    <s v="7411"/>
    <n v="41"/>
  </r>
  <r>
    <n v="7"/>
    <s v="Farmacia"/>
    <x v="40"/>
    <s v="Cuidado de los Pies"/>
    <x v="1"/>
    <x v="96"/>
    <s v="7412"/>
    <n v="41"/>
  </r>
  <r>
    <n v="9"/>
    <s v="Higiene y Belleza"/>
    <x v="41"/>
    <s v="Cuidado del cabello"/>
    <x v="0"/>
    <x v="97"/>
    <s v="9421"/>
    <n v="42"/>
  </r>
  <r>
    <n v="9"/>
    <s v="Higiene y Belleza"/>
    <x v="41"/>
    <s v="Cuidado del cabello"/>
    <x v="1"/>
    <x v="98"/>
    <s v="9422"/>
    <n v="42"/>
  </r>
  <r>
    <n v="9"/>
    <s v="Higiene y Belleza"/>
    <x v="41"/>
    <s v="Cuidado del cabello"/>
    <x v="2"/>
    <x v="99"/>
    <s v="9423"/>
    <n v="42"/>
  </r>
  <r>
    <n v="9"/>
    <s v="Higiene y Belleza"/>
    <x v="41"/>
    <s v="Cuidado del cabello"/>
    <x v="3"/>
    <x v="100"/>
    <s v="9424"/>
    <n v="42"/>
  </r>
  <r>
    <n v="9"/>
    <s v="Higiene y Belleza"/>
    <x v="41"/>
    <s v="Cuidado del cabello"/>
    <x v="4"/>
    <x v="101"/>
    <s v="9425"/>
    <n v="42"/>
  </r>
  <r>
    <n v="9"/>
    <s v="Higiene y Belleza"/>
    <x v="41"/>
    <s v="Cuidado del cabello"/>
    <x v="5"/>
    <x v="102"/>
    <s v="9426"/>
    <n v="42"/>
  </r>
  <r>
    <n v="9"/>
    <s v="Higiene y Belleza"/>
    <x v="41"/>
    <s v="Cuidado del cabello"/>
    <x v="6"/>
    <x v="103"/>
    <s v="9427"/>
    <n v="42"/>
  </r>
  <r>
    <n v="9"/>
    <s v="Higiene y Belleza"/>
    <x v="41"/>
    <s v="Cuidado del cabello"/>
    <x v="7"/>
    <x v="104"/>
    <s v="9428"/>
    <n v="42"/>
  </r>
  <r>
    <n v="9"/>
    <s v="Higiene y Belleza"/>
    <x v="41"/>
    <s v="Cuidado del cabello"/>
    <x v="8"/>
    <x v="105"/>
    <s v="9429"/>
    <n v="42"/>
  </r>
  <r>
    <n v="9"/>
    <s v="Higiene y Belleza"/>
    <x v="41"/>
    <s v="Cuidado del cabello"/>
    <x v="9"/>
    <x v="106"/>
    <s v="94210"/>
    <n v="42"/>
  </r>
  <r>
    <n v="9"/>
    <s v="Higiene y Belleza"/>
    <x v="42"/>
    <s v="Cuidado Facial"/>
    <x v="0"/>
    <x v="107"/>
    <s v="9431"/>
    <n v="43"/>
  </r>
  <r>
    <n v="9"/>
    <s v="Higiene y Belleza"/>
    <x v="42"/>
    <s v="Cuidado Facial"/>
    <x v="1"/>
    <x v="108"/>
    <s v="9432"/>
    <n v="43"/>
  </r>
  <r>
    <n v="9"/>
    <s v="Higiene y Belleza"/>
    <x v="42"/>
    <s v="Cuidado Facial"/>
    <x v="2"/>
    <x v="109"/>
    <s v="9433"/>
    <n v="43"/>
  </r>
  <r>
    <n v="9"/>
    <s v="Higiene y Belleza"/>
    <x v="42"/>
    <s v="Cuidado Facial"/>
    <x v="3"/>
    <x v="110"/>
    <s v="9434"/>
    <n v="43"/>
  </r>
  <r>
    <n v="9"/>
    <s v="Higiene y Belleza"/>
    <x v="42"/>
    <s v="Cuidado Facial"/>
    <x v="4"/>
    <x v="111"/>
    <s v="9435"/>
    <n v="43"/>
  </r>
  <r>
    <n v="9"/>
    <s v="Higiene y Belleza"/>
    <x v="43"/>
    <s v="Cuidado Intimo"/>
    <x v="0"/>
    <x v="112"/>
    <s v="9441"/>
    <n v="44"/>
  </r>
  <r>
    <n v="9"/>
    <s v="Higiene y Belleza"/>
    <x v="43"/>
    <s v="Cuidado Intimo"/>
    <x v="1"/>
    <x v="113"/>
    <s v="9442"/>
    <n v="44"/>
  </r>
  <r>
    <n v="9"/>
    <s v="Higiene y Belleza"/>
    <x v="44"/>
    <s v="Cuidado para pies"/>
    <x v="0"/>
    <x v="114"/>
    <s v="9451"/>
    <n v="45"/>
  </r>
  <r>
    <n v="7"/>
    <s v="Farmacia"/>
    <x v="45"/>
    <s v="Cuidado Personal"/>
    <x v="0"/>
    <x v="115"/>
    <s v="7461"/>
    <n v="46"/>
  </r>
  <r>
    <n v="7"/>
    <s v="Farmacia"/>
    <x v="45"/>
    <s v="Cuidado Personal"/>
    <x v="1"/>
    <x v="116"/>
    <s v="7462"/>
    <n v="46"/>
  </r>
  <r>
    <n v="7"/>
    <s v="Farmacia"/>
    <x v="45"/>
    <s v="Cuidado Personal"/>
    <x v="2"/>
    <x v="117"/>
    <s v="7463"/>
    <n v="46"/>
  </r>
  <r>
    <n v="7"/>
    <s v="Farmacia"/>
    <x v="45"/>
    <s v="Cuidado Personal"/>
    <x v="3"/>
    <x v="118"/>
    <s v="7464"/>
    <n v="46"/>
  </r>
  <r>
    <n v="3"/>
    <s v="Bebes y Niños"/>
    <x v="46"/>
    <s v="Cunas, coches y accesorios"/>
    <x v="0"/>
    <x v="119"/>
    <s v="3471"/>
    <n v="47"/>
  </r>
  <r>
    <n v="3"/>
    <s v="Bebes y Niños"/>
    <x v="46"/>
    <s v="Cunas, coches y accesorios"/>
    <x v="1"/>
    <x v="120"/>
    <s v="3472"/>
    <n v="47"/>
  </r>
  <r>
    <n v="3"/>
    <s v="Bebes y Niños"/>
    <x v="46"/>
    <s v="Cunas, coches y accesorios"/>
    <x v="1"/>
    <x v="121"/>
    <s v="3472"/>
    <n v="47"/>
  </r>
  <r>
    <n v="7"/>
    <s v="Farmacia"/>
    <x v="47"/>
    <s v="Dermatología"/>
    <x v="0"/>
    <x v="5"/>
    <s v="7481"/>
    <n v="48"/>
  </r>
  <r>
    <n v="12"/>
    <s v="Limpieza"/>
    <x v="48"/>
    <s v="Desechables"/>
    <x v="0"/>
    <x v="122"/>
    <s v="12491"/>
    <n v="49"/>
  </r>
  <r>
    <n v="12"/>
    <s v="Limpieza"/>
    <x v="48"/>
    <s v="Desechables"/>
    <x v="1"/>
    <x v="123"/>
    <s v="12492"/>
    <n v="49"/>
  </r>
  <r>
    <n v="12"/>
    <s v="Limpieza"/>
    <x v="48"/>
    <s v="Desechables"/>
    <x v="2"/>
    <x v="124"/>
    <s v="12493"/>
    <n v="49"/>
  </r>
  <r>
    <n v="12"/>
    <s v="Limpieza"/>
    <x v="48"/>
    <s v="Desechables"/>
    <x v="3"/>
    <x v="125"/>
    <s v="12494"/>
    <n v="49"/>
  </r>
  <r>
    <n v="12"/>
    <s v="Limpieza"/>
    <x v="48"/>
    <s v="Desechables"/>
    <x v="4"/>
    <x v="126"/>
    <s v="12495"/>
    <n v="49"/>
  </r>
  <r>
    <n v="12"/>
    <s v="Limpieza"/>
    <x v="48"/>
    <s v="Desechables"/>
    <x v="5"/>
    <x v="127"/>
    <s v="12496"/>
    <n v="49"/>
  </r>
  <r>
    <n v="12"/>
    <s v="Limpieza"/>
    <x v="48"/>
    <s v="Desechables"/>
    <x v="6"/>
    <x v="128"/>
    <s v="12497"/>
    <n v="49"/>
  </r>
  <r>
    <n v="12"/>
    <s v="Limpieza"/>
    <x v="49"/>
    <s v="Detergente"/>
    <x v="0"/>
    <x v="129"/>
    <s v="12501"/>
    <n v="50"/>
  </r>
  <r>
    <n v="12"/>
    <s v="Limpieza"/>
    <x v="49"/>
    <s v="Detergente"/>
    <x v="1"/>
    <x v="130"/>
    <s v="12502"/>
    <n v="50"/>
  </r>
  <r>
    <n v="7"/>
    <s v="Farmacia"/>
    <x v="50"/>
    <s v="Diabetes"/>
    <x v="0"/>
    <x v="131"/>
    <s v="7511"/>
    <n v="51"/>
  </r>
  <r>
    <n v="7"/>
    <s v="Farmacia"/>
    <x v="51"/>
    <s v="Diabetes y tiroides"/>
    <x v="0"/>
    <x v="5"/>
    <s v="7521"/>
    <n v="52"/>
  </r>
  <r>
    <n v="5"/>
    <s v="Cervezas, Vinos y Licores"/>
    <x v="52"/>
    <s v="Digestivos"/>
    <x v="0"/>
    <x v="132"/>
    <s v="5531"/>
    <n v="53"/>
  </r>
  <r>
    <n v="7"/>
    <s v="Farmacia"/>
    <x v="53"/>
    <s v="Dolor e inflamación"/>
    <x v="0"/>
    <x v="5"/>
    <s v="7541"/>
    <n v="54"/>
  </r>
  <r>
    <n v="1"/>
    <s v="Abarrotes"/>
    <x v="54"/>
    <s v="Dulces y Chocolates"/>
    <x v="0"/>
    <x v="133"/>
    <s v="1551"/>
    <n v="55"/>
  </r>
  <r>
    <n v="1"/>
    <s v="Abarrotes"/>
    <x v="54"/>
    <s v="Dulces y Chocolates"/>
    <x v="1"/>
    <x v="134"/>
    <s v="1552"/>
    <n v="55"/>
  </r>
  <r>
    <n v="1"/>
    <s v="Abarrotes"/>
    <x v="54"/>
    <s v="Dulces y Chocolates"/>
    <x v="2"/>
    <x v="135"/>
    <s v="1553"/>
    <n v="55"/>
  </r>
  <r>
    <n v="1"/>
    <s v="Abarrotes"/>
    <x v="54"/>
    <s v="Dulces y Chocolates"/>
    <x v="3"/>
    <x v="136"/>
    <s v="1554"/>
    <n v="55"/>
  </r>
  <r>
    <n v="1"/>
    <s v="Abarrotes"/>
    <x v="54"/>
    <s v="Dulces y Chocolates"/>
    <x v="4"/>
    <x v="137"/>
    <s v="1555"/>
    <n v="55"/>
  </r>
  <r>
    <n v="1"/>
    <s v="Abarrotes"/>
    <x v="54"/>
    <s v="Dulces y Chocolates"/>
    <x v="5"/>
    <x v="138"/>
    <s v="1556"/>
    <n v="55"/>
  </r>
  <r>
    <n v="7"/>
    <s v="Farmacia"/>
    <x v="55"/>
    <s v="Embarazo &amp; lactancia infantil"/>
    <x v="0"/>
    <x v="5"/>
    <s v="7561"/>
    <n v="56"/>
  </r>
  <r>
    <n v="10"/>
    <s v="Jugos y Bebidas"/>
    <x v="56"/>
    <s v="Energizantes e Hidratantes"/>
    <x v="0"/>
    <x v="139"/>
    <s v="10571"/>
    <n v="57"/>
  </r>
  <r>
    <n v="10"/>
    <s v="Jugos y Bebidas"/>
    <x v="56"/>
    <s v="Energizantes e Hidratantes"/>
    <x v="1"/>
    <x v="140"/>
    <s v="10572"/>
    <n v="57"/>
  </r>
  <r>
    <n v="1"/>
    <s v="Abarrotes"/>
    <x v="57"/>
    <s v="Enlatados y Conservas"/>
    <x v="0"/>
    <x v="141"/>
    <s v="1581"/>
    <n v="58"/>
  </r>
  <r>
    <n v="1"/>
    <s v="Abarrotes"/>
    <x v="57"/>
    <s v="Enlatados y Conservas"/>
    <x v="1"/>
    <x v="142"/>
    <s v="1582"/>
    <n v="58"/>
  </r>
  <r>
    <n v="1"/>
    <s v="Abarrotes"/>
    <x v="57"/>
    <s v="Enlatados y Conservas"/>
    <x v="2"/>
    <x v="143"/>
    <s v="1583"/>
    <n v="58"/>
  </r>
  <r>
    <n v="1"/>
    <s v="Abarrotes"/>
    <x v="57"/>
    <s v="Enlatados y Conservas"/>
    <x v="3"/>
    <x v="144"/>
    <s v="1584"/>
    <n v="58"/>
  </r>
  <r>
    <n v="1"/>
    <s v="Abarrotes"/>
    <x v="57"/>
    <s v="Enlatados y Conservas"/>
    <x v="4"/>
    <x v="145"/>
    <s v="1585"/>
    <n v="58"/>
  </r>
  <r>
    <n v="1"/>
    <s v="Abarrotes"/>
    <x v="57"/>
    <s v="Enlatados y Conservas"/>
    <x v="5"/>
    <x v="146"/>
    <s v="1586"/>
    <n v="58"/>
  </r>
  <r>
    <n v="1"/>
    <s v="Abarrotes"/>
    <x v="57"/>
    <s v="Enlatados y Conservas"/>
    <x v="6"/>
    <x v="147"/>
    <s v="1587"/>
    <n v="58"/>
  </r>
  <r>
    <n v="1"/>
    <s v="Abarrotes"/>
    <x v="58"/>
    <s v="Especiales y Sazonadores"/>
    <x v="0"/>
    <x v="148"/>
    <s v="1591"/>
    <n v="59"/>
  </r>
  <r>
    <n v="1"/>
    <s v="Abarrotes"/>
    <x v="58"/>
    <s v="Especiales y Sazonadores"/>
    <x v="1"/>
    <x v="149"/>
    <s v="1592"/>
    <n v="59"/>
  </r>
  <r>
    <n v="1"/>
    <s v="Abarrotes"/>
    <x v="58"/>
    <s v="Especiales y Sazonadores"/>
    <x v="2"/>
    <x v="150"/>
    <s v="1593"/>
    <n v="59"/>
  </r>
  <r>
    <n v="1"/>
    <s v="Abarrotes"/>
    <x v="58"/>
    <s v="Especiales y Sazonadores"/>
    <x v="3"/>
    <x v="151"/>
    <s v="1594"/>
    <n v="59"/>
  </r>
  <r>
    <n v="1"/>
    <s v="Abarrotes"/>
    <x v="59"/>
    <s v="Especias y Sazonadores"/>
    <x v="0"/>
    <x v="148"/>
    <s v="1601"/>
    <n v="60"/>
  </r>
  <r>
    <n v="1"/>
    <s v="Abarrotes"/>
    <x v="59"/>
    <s v="Especias y Sazonadores"/>
    <x v="1"/>
    <x v="149"/>
    <s v="1602"/>
    <n v="60"/>
  </r>
  <r>
    <n v="1"/>
    <s v="Abarrotes"/>
    <x v="59"/>
    <s v="Especias y Sazonadores"/>
    <x v="2"/>
    <x v="150"/>
    <s v="1603"/>
    <n v="60"/>
  </r>
  <r>
    <n v="1"/>
    <s v="Abarrotes"/>
    <x v="59"/>
    <s v="Especias y Sazonadores"/>
    <x v="3"/>
    <x v="151"/>
    <s v="1604"/>
    <n v="60"/>
  </r>
  <r>
    <n v="7"/>
    <s v="Farmacia"/>
    <x v="60"/>
    <s v="Estomacales"/>
    <x v="0"/>
    <x v="152"/>
    <s v="7611"/>
    <n v="61"/>
  </r>
  <r>
    <n v="7"/>
    <s v="Farmacia"/>
    <x v="60"/>
    <s v="Estomacales"/>
    <x v="1"/>
    <x v="153"/>
    <s v="7612"/>
    <n v="61"/>
  </r>
  <r>
    <n v="7"/>
    <s v="Farmacia"/>
    <x v="60"/>
    <s v="Estomacales"/>
    <x v="2"/>
    <x v="154"/>
    <s v="7613"/>
    <n v="61"/>
  </r>
  <r>
    <n v="8"/>
    <s v="Frutas y Verduras"/>
    <x v="61"/>
    <s v="Frutas"/>
    <x v="0"/>
    <x v="155"/>
    <s v="8621"/>
    <n v="62"/>
  </r>
  <r>
    <n v="8"/>
    <s v="Frutas y Verduras"/>
    <x v="61"/>
    <s v="Frutas"/>
    <x v="1"/>
    <x v="156"/>
    <s v="8622"/>
    <n v="62"/>
  </r>
  <r>
    <n v="8"/>
    <s v="Frutas y Verduras"/>
    <x v="61"/>
    <s v="Frutas"/>
    <x v="2"/>
    <x v="157"/>
    <s v="8623"/>
    <n v="62"/>
  </r>
  <r>
    <n v="8"/>
    <s v="Frutas y Verduras"/>
    <x v="61"/>
    <s v="Frutas"/>
    <x v="3"/>
    <x v="158"/>
    <s v="8624"/>
    <n v="62"/>
  </r>
  <r>
    <n v="8"/>
    <s v="Frutas y Verduras"/>
    <x v="61"/>
    <s v="Frutas"/>
    <x v="4"/>
    <x v="159"/>
    <s v="8625"/>
    <n v="62"/>
  </r>
  <r>
    <n v="8"/>
    <s v="Frutas y Verduras"/>
    <x v="61"/>
    <s v="Frutas"/>
    <x v="5"/>
    <x v="160"/>
    <s v="8626"/>
    <n v="62"/>
  </r>
  <r>
    <n v="2"/>
    <s v="Alimentos Congelados"/>
    <x v="62"/>
    <s v="Frutas y Verdura Congelada"/>
    <x v="0"/>
    <x v="161"/>
    <s v="2631"/>
    <n v="63"/>
  </r>
  <r>
    <n v="2"/>
    <s v="Alimentos Congelados"/>
    <x v="62"/>
    <s v="Frutas y Verdura Congelada"/>
    <x v="1"/>
    <x v="162"/>
    <s v="2632"/>
    <n v="63"/>
  </r>
  <r>
    <n v="1"/>
    <s v="Abarrotes"/>
    <x v="63"/>
    <s v="Galletas"/>
    <x v="0"/>
    <x v="163"/>
    <s v="1641"/>
    <n v="64"/>
  </r>
  <r>
    <n v="1"/>
    <s v="Abarrotes"/>
    <x v="63"/>
    <s v="Galletas"/>
    <x v="1"/>
    <x v="164"/>
    <s v="1642"/>
    <n v="64"/>
  </r>
  <r>
    <n v="1"/>
    <s v="Abarrotes"/>
    <x v="63"/>
    <s v="Galletas"/>
    <x v="2"/>
    <x v="165"/>
    <s v="1643"/>
    <n v="64"/>
  </r>
  <r>
    <n v="1"/>
    <s v="Abarrotes"/>
    <x v="63"/>
    <s v="Galletas"/>
    <x v="3"/>
    <x v="166"/>
    <s v="1644"/>
    <n v="64"/>
  </r>
  <r>
    <n v="10"/>
    <s v="Jugos y Bebidas"/>
    <x v="64"/>
    <s v="Gaseosas"/>
    <x v="0"/>
    <x v="167"/>
    <s v="10651"/>
    <n v="65"/>
  </r>
  <r>
    <n v="10"/>
    <s v="Jugos y Bebidas"/>
    <x v="64"/>
    <s v="Gaseosas"/>
    <x v="1"/>
    <x v="168"/>
    <s v="10652"/>
    <n v="65"/>
  </r>
  <r>
    <n v="10"/>
    <s v="Jugos y Bebidas"/>
    <x v="64"/>
    <s v="Gaseosas"/>
    <x v="2"/>
    <x v="169"/>
    <s v="10653"/>
    <n v="65"/>
  </r>
  <r>
    <n v="1"/>
    <s v="Abarrotes"/>
    <x v="65"/>
    <s v="Harinas y Repostería"/>
    <x v="0"/>
    <x v="170"/>
    <s v="1661"/>
    <n v="66"/>
  </r>
  <r>
    <n v="1"/>
    <s v="Abarrotes"/>
    <x v="65"/>
    <s v="Harinas y Repostería"/>
    <x v="1"/>
    <x v="171"/>
    <s v="1662"/>
    <n v="66"/>
  </r>
  <r>
    <n v="1"/>
    <s v="Abarrotes"/>
    <x v="65"/>
    <s v="Harinas y Repostería"/>
    <x v="2"/>
    <x v="172"/>
    <s v="1663"/>
    <n v="66"/>
  </r>
  <r>
    <n v="1"/>
    <s v="Abarrotes"/>
    <x v="65"/>
    <s v="Harinas y Repostería"/>
    <x v="3"/>
    <x v="173"/>
    <s v="1664"/>
    <n v="66"/>
  </r>
  <r>
    <n v="1"/>
    <s v="Abarrotes"/>
    <x v="65"/>
    <s v="Harinas y Repostería"/>
    <x v="4"/>
    <x v="174"/>
    <s v="1665"/>
    <n v="66"/>
  </r>
  <r>
    <n v="1"/>
    <s v="Abarrotes"/>
    <x v="65"/>
    <s v="Harinas y Repostería"/>
    <x v="5"/>
    <x v="175"/>
    <s v="1666"/>
    <n v="66"/>
  </r>
  <r>
    <n v="3"/>
    <s v="Bebes y Niños"/>
    <x v="66"/>
    <s v="Higiene del bebé"/>
    <x v="0"/>
    <x v="176"/>
    <s v="3671"/>
    <n v="67"/>
  </r>
  <r>
    <n v="3"/>
    <s v="Bebes y Niños"/>
    <x v="66"/>
    <s v="Higiene del bebé"/>
    <x v="1"/>
    <x v="177"/>
    <s v="3672"/>
    <n v="67"/>
  </r>
  <r>
    <n v="3"/>
    <s v="Bebes y Niños"/>
    <x v="66"/>
    <s v="Higiene del bebé"/>
    <x v="2"/>
    <x v="178"/>
    <s v="3673"/>
    <n v="67"/>
  </r>
  <r>
    <n v="3"/>
    <s v="Bebes y Niños"/>
    <x v="66"/>
    <s v="Higiene del bebé"/>
    <x v="3"/>
    <x v="179"/>
    <s v="3674"/>
    <n v="67"/>
  </r>
  <r>
    <n v="9"/>
    <s v="Higiene y Belleza"/>
    <x v="67"/>
    <s v="Higiene y cuidado corporal"/>
    <x v="0"/>
    <x v="180"/>
    <s v="9681"/>
    <n v="68"/>
  </r>
  <r>
    <n v="9"/>
    <s v="Higiene y Belleza"/>
    <x v="67"/>
    <s v="Higiene y cuidado corporal"/>
    <x v="1"/>
    <x v="181"/>
    <s v="9682"/>
    <n v="68"/>
  </r>
  <r>
    <n v="9"/>
    <s v="Higiene y Belleza"/>
    <x v="67"/>
    <s v="Higiene y cuidado corporal"/>
    <x v="2"/>
    <x v="182"/>
    <s v="9683"/>
    <n v="68"/>
  </r>
  <r>
    <n v="9"/>
    <s v="Higiene y Belleza"/>
    <x v="67"/>
    <s v="Higiene y cuidado corporal"/>
    <x v="3"/>
    <x v="183"/>
    <s v="9684"/>
    <n v="68"/>
  </r>
  <r>
    <n v="9"/>
    <s v="Higiene y Belleza"/>
    <x v="67"/>
    <s v="Higiene y cuidado corporal"/>
    <x v="4"/>
    <x v="184"/>
    <s v="9685"/>
    <n v="68"/>
  </r>
  <r>
    <n v="9"/>
    <s v="Higiene y Belleza"/>
    <x v="67"/>
    <s v="Higiene y cuidado corporal"/>
    <x v="5"/>
    <x v="185"/>
    <s v="9686"/>
    <n v="68"/>
  </r>
  <r>
    <n v="9"/>
    <s v="Higiene y Belleza"/>
    <x v="67"/>
    <s v="Higiene y cuidado corporal"/>
    <x v="6"/>
    <x v="186"/>
    <s v="9687"/>
    <n v="68"/>
  </r>
  <r>
    <n v="9"/>
    <s v="Higiene y Belleza"/>
    <x v="67"/>
    <s v="Higiene y cuidado corporal"/>
    <x v="7"/>
    <x v="187"/>
    <s v="9688"/>
    <n v="68"/>
  </r>
  <r>
    <n v="9"/>
    <s v="Higiene y Belleza"/>
    <x v="67"/>
    <s v="Higiene y cuidado corporal"/>
    <x v="8"/>
    <x v="188"/>
    <s v="9689"/>
    <n v="68"/>
  </r>
  <r>
    <n v="9"/>
    <s v="Higiene y Belleza"/>
    <x v="68"/>
    <s v="Higiene y cuidado para manos"/>
    <x v="0"/>
    <x v="189"/>
    <s v="9691"/>
    <n v="69"/>
  </r>
  <r>
    <n v="9"/>
    <s v="Higiene y Belleza"/>
    <x v="68"/>
    <s v="Higiene y cuidado para manos"/>
    <x v="1"/>
    <x v="190"/>
    <s v="9692"/>
    <n v="69"/>
  </r>
  <r>
    <n v="9"/>
    <s v="Higiene y Belleza"/>
    <x v="68"/>
    <s v="Higiene y cuidado para manos"/>
    <x v="2"/>
    <x v="191"/>
    <s v="9693"/>
    <n v="69"/>
  </r>
  <r>
    <n v="9"/>
    <s v="Higiene y Belleza"/>
    <x v="68"/>
    <s v="Higiene y cuidado para manos"/>
    <x v="3"/>
    <x v="192"/>
    <s v="9694"/>
    <n v="69"/>
  </r>
  <r>
    <n v="9"/>
    <s v="Higiene y Belleza"/>
    <x v="68"/>
    <s v="Higiene y cuidado para manos"/>
    <x v="4"/>
    <x v="193"/>
    <s v="9695"/>
    <n v="69"/>
  </r>
  <r>
    <n v="9"/>
    <s v="Higiene y Belleza"/>
    <x v="68"/>
    <s v="Higiene y cuidado para manos"/>
    <x v="5"/>
    <x v="194"/>
    <s v="9696"/>
    <n v="69"/>
  </r>
  <r>
    <n v="11"/>
    <s v="Lacteos"/>
    <x v="69"/>
    <s v="Huevo"/>
    <x v="0"/>
    <x v="79"/>
    <s v="11701"/>
    <n v="70"/>
  </r>
  <r>
    <n v="11"/>
    <s v="Lacteos"/>
    <x v="69"/>
    <s v="Huevo"/>
    <x v="1"/>
    <x v="195"/>
    <s v="11702"/>
    <n v="70"/>
  </r>
  <r>
    <n v="11"/>
    <s v="Lacteos"/>
    <x v="69"/>
    <s v="Huevo"/>
    <x v="2"/>
    <x v="196"/>
    <s v="11703"/>
    <n v="70"/>
  </r>
  <r>
    <n v="11"/>
    <s v="Lacteos"/>
    <x v="69"/>
    <s v="Huevo"/>
    <x v="3"/>
    <x v="197"/>
    <s v="11704"/>
    <n v="70"/>
  </r>
  <r>
    <n v="12"/>
    <s v="Limpieza"/>
    <x v="70"/>
    <s v="Jabón de lavandería"/>
    <x v="0"/>
    <x v="198"/>
    <s v="12711"/>
    <n v="71"/>
  </r>
  <r>
    <n v="10"/>
    <s v="Jugos y Bebidas"/>
    <x v="71"/>
    <s v="Jugos y Néctares"/>
    <x v="0"/>
    <x v="199"/>
    <s v="10721"/>
    <n v="72"/>
  </r>
  <r>
    <n v="10"/>
    <s v="Jugos y Bebidas"/>
    <x v="71"/>
    <s v="Jugos y Néctares"/>
    <x v="1"/>
    <x v="200"/>
    <s v="10722"/>
    <n v="72"/>
  </r>
  <r>
    <n v="10"/>
    <s v="Jugos y Bebidas"/>
    <x v="71"/>
    <s v="Jugos y Néctares"/>
    <x v="2"/>
    <x v="201"/>
    <s v="10723"/>
    <n v="72"/>
  </r>
  <r>
    <n v="3"/>
    <s v="Bebes y Niños"/>
    <x v="72"/>
    <s v="Juguetes para bebe y estimulación temprana"/>
    <x v="0"/>
    <x v="202"/>
    <s v="3731"/>
    <n v="73"/>
  </r>
  <r>
    <n v="9"/>
    <s v="Higiene y Belleza"/>
    <x v="73"/>
    <s v="Kits de viaje"/>
    <x v="0"/>
    <x v="203"/>
    <s v="9741"/>
    <n v="74"/>
  </r>
  <r>
    <n v="12"/>
    <s v="Limpieza"/>
    <x v="74"/>
    <s v="Lavaplatos"/>
    <x v="0"/>
    <x v="204"/>
    <s v="12751"/>
    <n v="75"/>
  </r>
  <r>
    <n v="12"/>
    <s v="Limpieza"/>
    <x v="74"/>
    <s v="Lavaplatos"/>
    <x v="1"/>
    <x v="205"/>
    <s v="12752"/>
    <n v="75"/>
  </r>
  <r>
    <n v="1"/>
    <s v="Abarrotes"/>
    <x v="75"/>
    <s v="Leche"/>
    <x v="0"/>
    <x v="206"/>
    <s v="1761"/>
    <n v="76"/>
  </r>
  <r>
    <n v="1"/>
    <s v="Abarrotes"/>
    <x v="75"/>
    <s v="Leche"/>
    <x v="1"/>
    <x v="207"/>
    <s v="1762"/>
    <n v="76"/>
  </r>
  <r>
    <n v="1"/>
    <s v="Abarrotes"/>
    <x v="75"/>
    <s v="Leche"/>
    <x v="2"/>
    <x v="208"/>
    <s v="1763"/>
    <n v="76"/>
  </r>
  <r>
    <n v="11"/>
    <s v="Lacteos"/>
    <x v="75"/>
    <s v="Leche"/>
    <x v="0"/>
    <x v="208"/>
    <s v="11761"/>
    <n v="76"/>
  </r>
  <r>
    <n v="11"/>
    <s v="Lacteos"/>
    <x v="75"/>
    <s v="Leche"/>
    <x v="1"/>
    <x v="209"/>
    <s v="11762"/>
    <n v="76"/>
  </r>
  <r>
    <n v="11"/>
    <s v="Lacteos"/>
    <x v="75"/>
    <s v="Leche"/>
    <x v="2"/>
    <x v="206"/>
    <s v="11763"/>
    <n v="76"/>
  </r>
  <r>
    <n v="11"/>
    <s v="Lacteos"/>
    <x v="75"/>
    <s v="Leche"/>
    <x v="3"/>
    <x v="210"/>
    <s v="11764"/>
    <n v="76"/>
  </r>
  <r>
    <n v="11"/>
    <s v="Lacteos"/>
    <x v="75"/>
    <s v="Leche"/>
    <x v="4"/>
    <x v="211"/>
    <s v="11765"/>
    <n v="76"/>
  </r>
  <r>
    <n v="11"/>
    <s v="Lacteos"/>
    <x v="75"/>
    <s v="Leche"/>
    <x v="5"/>
    <x v="212"/>
    <s v="11766"/>
    <n v="76"/>
  </r>
  <r>
    <n v="11"/>
    <s v="Lacteos"/>
    <x v="75"/>
    <s v="Leche"/>
    <x v="6"/>
    <x v="207"/>
    <s v="11767"/>
    <n v="76"/>
  </r>
  <r>
    <n v="5"/>
    <s v="Cervezas, Vinos y Licores"/>
    <x v="76"/>
    <s v="Licores"/>
    <x v="0"/>
    <x v="213"/>
    <s v="5781"/>
    <n v="78"/>
  </r>
  <r>
    <n v="5"/>
    <s v="Cervezas, Vinos y Licores"/>
    <x v="76"/>
    <s v="Licores"/>
    <x v="1"/>
    <x v="214"/>
    <s v="5782"/>
    <n v="78"/>
  </r>
  <r>
    <n v="5"/>
    <s v="Cervezas, Vinos y Licores"/>
    <x v="76"/>
    <s v="Licores"/>
    <x v="2"/>
    <x v="215"/>
    <s v="5783"/>
    <n v="78"/>
  </r>
  <r>
    <n v="5"/>
    <s v="Cervezas, Vinos y Licores"/>
    <x v="76"/>
    <s v="Licores"/>
    <x v="3"/>
    <x v="216"/>
    <s v="5784"/>
    <n v="78"/>
  </r>
  <r>
    <n v="5"/>
    <s v="Cervezas, Vinos y Licores"/>
    <x v="76"/>
    <s v="Licores"/>
    <x v="4"/>
    <x v="217"/>
    <s v="5785"/>
    <n v="78"/>
  </r>
  <r>
    <n v="5"/>
    <s v="Cervezas, Vinos y Licores"/>
    <x v="76"/>
    <s v="Licores"/>
    <x v="5"/>
    <x v="218"/>
    <s v="5786"/>
    <n v="78"/>
  </r>
  <r>
    <n v="5"/>
    <s v="Cervezas, Vinos y Licores"/>
    <x v="76"/>
    <s v="Licores"/>
    <x v="6"/>
    <x v="219"/>
    <s v="5787"/>
    <n v="78"/>
  </r>
  <r>
    <n v="12"/>
    <s v="Limpieza"/>
    <x v="77"/>
    <s v="Limpieza del hogar"/>
    <x v="0"/>
    <x v="220"/>
    <s v="12791"/>
    <n v="79"/>
  </r>
  <r>
    <n v="12"/>
    <s v="Limpieza"/>
    <x v="77"/>
    <s v="Limpieza del hogar"/>
    <x v="1"/>
    <x v="221"/>
    <s v="12792"/>
    <n v="79"/>
  </r>
  <r>
    <n v="12"/>
    <s v="Limpieza"/>
    <x v="77"/>
    <s v="Limpieza del hogar"/>
    <x v="2"/>
    <x v="222"/>
    <s v="12793"/>
    <n v="79"/>
  </r>
  <r>
    <n v="12"/>
    <s v="Limpieza"/>
    <x v="77"/>
    <s v="Limpieza del hogar"/>
    <x v="3"/>
    <x v="223"/>
    <s v="12794"/>
    <n v="79"/>
  </r>
  <r>
    <n v="12"/>
    <s v="Limpieza"/>
    <x v="77"/>
    <s v="Limpieza del hogar"/>
    <x v="4"/>
    <x v="224"/>
    <s v="12795"/>
    <n v="79"/>
  </r>
  <r>
    <n v="12"/>
    <s v="Limpieza"/>
    <x v="77"/>
    <s v="Limpieza del hogar"/>
    <x v="5"/>
    <x v="225"/>
    <s v="12796"/>
    <n v="79"/>
  </r>
  <r>
    <n v="12"/>
    <s v="Limpieza"/>
    <x v="77"/>
    <s v="Limpieza del hogar"/>
    <x v="6"/>
    <x v="226"/>
    <s v="12797"/>
    <n v="79"/>
  </r>
  <r>
    <n v="12"/>
    <s v="Limpieza"/>
    <x v="77"/>
    <s v="Limpieza del hogar"/>
    <x v="7"/>
    <x v="227"/>
    <s v="12798"/>
    <n v="79"/>
  </r>
  <r>
    <n v="12"/>
    <s v="Limpieza"/>
    <x v="77"/>
    <s v="Limpieza del hogar"/>
    <x v="8"/>
    <x v="228"/>
    <s v="12799"/>
    <n v="79"/>
  </r>
  <r>
    <n v="12"/>
    <s v="Limpieza"/>
    <x v="77"/>
    <s v="Limpieza del hogar"/>
    <x v="9"/>
    <x v="229"/>
    <s v="127910"/>
    <n v="79"/>
  </r>
  <r>
    <n v="13"/>
    <s v="Mascota"/>
    <x v="78"/>
    <s v="Limpieza y Cuidado"/>
    <x v="0"/>
    <x v="5"/>
    <s v="13801"/>
    <n v="80"/>
  </r>
  <r>
    <n v="11"/>
    <s v="Lacteos"/>
    <x v="79"/>
    <s v="Mantequillas y margarinas"/>
    <x v="0"/>
    <x v="230"/>
    <s v="11811"/>
    <n v="81"/>
  </r>
  <r>
    <n v="11"/>
    <s v="Lacteos"/>
    <x v="79"/>
    <s v="Mantequillas y margarinas"/>
    <x v="1"/>
    <x v="231"/>
    <s v="11812"/>
    <n v="81"/>
  </r>
  <r>
    <n v="4"/>
    <s v="Carnes y Pescados"/>
    <x v="80"/>
    <s v="Mariscos y Pescados"/>
    <x v="0"/>
    <x v="232"/>
    <s v="4821"/>
    <n v="82"/>
  </r>
  <r>
    <n v="4"/>
    <s v="Carnes y Pescados"/>
    <x v="80"/>
    <s v="Mariscos y Pescados"/>
    <x v="1"/>
    <x v="233"/>
    <s v="4822"/>
    <n v="82"/>
  </r>
  <r>
    <n v="12"/>
    <s v="Limpieza"/>
    <x v="81"/>
    <s v="Mascotas"/>
    <x v="0"/>
    <x v="234"/>
    <s v="12831"/>
    <n v="83"/>
  </r>
  <r>
    <n v="12"/>
    <s v="Limpieza"/>
    <x v="81"/>
    <s v="Mascotas"/>
    <x v="1"/>
    <x v="235"/>
    <s v="12832"/>
    <n v="83"/>
  </r>
  <r>
    <n v="7"/>
    <s v="Farmacia"/>
    <x v="82"/>
    <s v="Material de Curación"/>
    <x v="0"/>
    <x v="236"/>
    <s v="7841"/>
    <n v="84"/>
  </r>
  <r>
    <n v="7"/>
    <s v="Farmacia"/>
    <x v="82"/>
    <s v="Material de Curación"/>
    <x v="1"/>
    <x v="237"/>
    <s v="7842"/>
    <n v="84"/>
  </r>
  <r>
    <n v="7"/>
    <s v="Farmacia"/>
    <x v="83"/>
    <s v="Medicamentos de Alta Especialidad"/>
    <x v="0"/>
    <x v="238"/>
    <s v="7861"/>
    <n v="86"/>
  </r>
  <r>
    <n v="1"/>
    <s v="Abarrotes"/>
    <x v="84"/>
    <s v="Mermeladas y Miel"/>
    <x v="0"/>
    <x v="239"/>
    <s v="1871"/>
    <n v="87"/>
  </r>
  <r>
    <n v="1"/>
    <s v="Abarrotes"/>
    <x v="84"/>
    <s v="Mermeladas y Miel"/>
    <x v="1"/>
    <x v="240"/>
    <s v="1872"/>
    <n v="87"/>
  </r>
  <r>
    <n v="1"/>
    <s v="Abarrotes"/>
    <x v="84"/>
    <s v="Mermeladas y Miel"/>
    <x v="2"/>
    <x v="241"/>
    <s v="1873"/>
    <n v="87"/>
  </r>
  <r>
    <n v="1"/>
    <s v="Abarrotes"/>
    <x v="84"/>
    <s v="Mermeladas y Miel"/>
    <x v="3"/>
    <x v="242"/>
    <s v="1874"/>
    <n v="87"/>
  </r>
  <r>
    <n v="7"/>
    <s v="Farmacia"/>
    <x v="85"/>
    <s v="Multivitamínicos, Suplementos &amp; Sistema Óseo"/>
    <x v="0"/>
    <x v="5"/>
    <s v="7881"/>
    <n v="88"/>
  </r>
  <r>
    <n v="7"/>
    <s v="Farmacia"/>
    <x v="86"/>
    <s v="Oftálmicos y Óticos"/>
    <x v="0"/>
    <x v="243"/>
    <s v="7891"/>
    <n v="89"/>
  </r>
  <r>
    <n v="7"/>
    <s v="Farmacia"/>
    <x v="87"/>
    <s v="OTC"/>
    <x v="0"/>
    <x v="5"/>
    <s v="7901"/>
    <n v="90"/>
  </r>
  <r>
    <n v="14"/>
    <s v="Panadería y tortillería"/>
    <x v="88"/>
    <s v="Pan Dulce"/>
    <x v="0"/>
    <x v="244"/>
    <s v="14911"/>
    <n v="91"/>
  </r>
  <r>
    <n v="14"/>
    <s v="Panadería y tortillería"/>
    <x v="88"/>
    <s v="Pan Dulce"/>
    <x v="1"/>
    <x v="245"/>
    <s v="14912"/>
    <n v="91"/>
  </r>
  <r>
    <n v="14"/>
    <s v="Panadería y tortillería"/>
    <x v="89"/>
    <s v="Pan Salado"/>
    <x v="0"/>
    <x v="246"/>
    <s v="14921"/>
    <n v="92"/>
  </r>
  <r>
    <n v="14"/>
    <s v="Panadería y tortillería"/>
    <x v="89"/>
    <s v="Pan Salado"/>
    <x v="1"/>
    <x v="247"/>
    <s v="14922"/>
    <n v="92"/>
  </r>
  <r>
    <n v="14"/>
    <s v="Panadería y tortillería"/>
    <x v="89"/>
    <s v="Pan Salado"/>
    <x v="2"/>
    <x v="248"/>
    <s v="14923"/>
    <n v="92"/>
  </r>
  <r>
    <n v="14"/>
    <s v="Panadería y tortillería"/>
    <x v="89"/>
    <s v="Pan Salado"/>
    <x v="3"/>
    <x v="249"/>
    <s v="14924"/>
    <n v="92"/>
  </r>
  <r>
    <n v="14"/>
    <s v="Panadería y tortillería"/>
    <x v="89"/>
    <s v="Pan Salado"/>
    <x v="4"/>
    <x v="250"/>
    <s v="14925"/>
    <n v="92"/>
  </r>
  <r>
    <n v="14"/>
    <s v="Panadería y tortillería"/>
    <x v="89"/>
    <s v="Pan Salado"/>
    <x v="5"/>
    <x v="251"/>
    <s v="14926"/>
    <n v="92"/>
  </r>
  <r>
    <n v="14"/>
    <s v="Panadería y tortillería"/>
    <x v="89"/>
    <s v="Pan Salado"/>
    <x v="6"/>
    <x v="252"/>
    <s v="14927"/>
    <n v="92"/>
  </r>
  <r>
    <n v="1"/>
    <s v="Abarrotes"/>
    <x v="90"/>
    <s v="Pan y Tortillas Empacados"/>
    <x v="0"/>
    <x v="253"/>
    <s v="1931"/>
    <n v="93"/>
  </r>
  <r>
    <n v="3"/>
    <s v="Bebes y Niños"/>
    <x v="91"/>
    <s v="Pañales y toallitas húmedas"/>
    <x v="0"/>
    <x v="254"/>
    <s v="3941"/>
    <n v="94"/>
  </r>
  <r>
    <n v="3"/>
    <s v="Bebes y Niños"/>
    <x v="91"/>
    <s v="Pañales y toallitas húmedas"/>
    <x v="1"/>
    <x v="255"/>
    <s v="3942"/>
    <n v="94"/>
  </r>
  <r>
    <n v="3"/>
    <s v="Bebes y Niños"/>
    <x v="91"/>
    <s v="Pañales y toallitas húmedas"/>
    <x v="2"/>
    <x v="256"/>
    <s v="3943"/>
    <n v="94"/>
  </r>
  <r>
    <n v="3"/>
    <s v="Bebes y Niños"/>
    <x v="91"/>
    <s v="Pañales y toallitas húmedas"/>
    <x v="3"/>
    <x v="257"/>
    <s v="3944"/>
    <n v="94"/>
  </r>
  <r>
    <n v="3"/>
    <s v="Bebes y Niños"/>
    <x v="91"/>
    <s v="Pañales y toallitas húmedas"/>
    <x v="4"/>
    <x v="258"/>
    <s v="3945"/>
    <n v="94"/>
  </r>
  <r>
    <n v="3"/>
    <s v="Bebes y Niños"/>
    <x v="91"/>
    <s v="Pañales y toallitas húmedas"/>
    <x v="5"/>
    <x v="259"/>
    <s v="3946"/>
    <n v="94"/>
  </r>
  <r>
    <n v="3"/>
    <s v="Bebes y Niños"/>
    <x v="91"/>
    <s v="Pañales y toallitas húmedas"/>
    <x v="6"/>
    <x v="260"/>
    <s v="3947"/>
    <n v="94"/>
  </r>
  <r>
    <n v="3"/>
    <s v="Bebes y Niños"/>
    <x v="91"/>
    <s v="Pañales y toallitas húmedas"/>
    <x v="7"/>
    <x v="261"/>
    <s v="3948"/>
    <n v="94"/>
  </r>
  <r>
    <n v="3"/>
    <s v="Bebes y Niños"/>
    <x v="91"/>
    <s v="Pañales y toallitas húmedas"/>
    <x v="8"/>
    <x v="262"/>
    <s v="3949"/>
    <n v="94"/>
  </r>
  <r>
    <n v="9"/>
    <s v="Higiene y Belleza"/>
    <x v="92"/>
    <s v="Pañuelos desechables"/>
    <x v="0"/>
    <x v="263"/>
    <s v="9951"/>
    <n v="95"/>
  </r>
  <r>
    <n v="12"/>
    <s v="Limpieza"/>
    <x v="93"/>
    <s v="Papel Higiénico"/>
    <x v="0"/>
    <x v="264"/>
    <s v="12961"/>
    <n v="96"/>
  </r>
  <r>
    <n v="1"/>
    <s v="Abarrotes"/>
    <x v="94"/>
    <s v="Pastas"/>
    <x v="0"/>
    <x v="265"/>
    <s v="1971"/>
    <n v="97"/>
  </r>
  <r>
    <n v="1"/>
    <s v="Abarrotes"/>
    <x v="94"/>
    <s v="Pastas"/>
    <x v="1"/>
    <x v="266"/>
    <s v="1972"/>
    <n v="97"/>
  </r>
  <r>
    <n v="1"/>
    <s v="Abarrotes"/>
    <x v="94"/>
    <s v="Pastas"/>
    <x v="2"/>
    <x v="267"/>
    <s v="1973"/>
    <n v="97"/>
  </r>
  <r>
    <n v="1"/>
    <s v="Abarrotes"/>
    <x v="94"/>
    <s v="Pastas"/>
    <x v="3"/>
    <x v="268"/>
    <s v="1974"/>
    <n v="97"/>
  </r>
  <r>
    <n v="1"/>
    <s v="Abarrotes"/>
    <x v="94"/>
    <s v="Pastas"/>
    <x v="4"/>
    <x v="269"/>
    <s v="1975"/>
    <n v="97"/>
  </r>
  <r>
    <n v="4"/>
    <s v="Carnes y Pescados"/>
    <x v="95"/>
    <s v="Pollo y Pavo"/>
    <x v="0"/>
    <x v="270"/>
    <s v="4981"/>
    <n v="98"/>
  </r>
  <r>
    <n v="4"/>
    <s v="Carnes y Pescados"/>
    <x v="95"/>
    <s v="Pollo y Pavo"/>
    <x v="1"/>
    <x v="271"/>
    <s v="4982"/>
    <n v="98"/>
  </r>
  <r>
    <n v="10"/>
    <s v="Jugos y Bebidas"/>
    <x v="96"/>
    <s v="Polvo y Líquidos Concentrados"/>
    <x v="0"/>
    <x v="272"/>
    <s v="10991"/>
    <n v="99"/>
  </r>
  <r>
    <n v="10"/>
    <s v="Jugos y Bebidas"/>
    <x v="96"/>
    <s v="Polvo y Líquidos Concentrados"/>
    <x v="1"/>
    <x v="273"/>
    <s v="10992"/>
    <n v="99"/>
  </r>
  <r>
    <n v="2"/>
    <s v="Alimentos Congelados"/>
    <x v="97"/>
    <s v="Postres Congelados"/>
    <x v="0"/>
    <x v="274"/>
    <s v="21001"/>
    <n v="100"/>
  </r>
  <r>
    <n v="2"/>
    <s v="Alimentos Congelados"/>
    <x v="97"/>
    <s v="Postres Congelados"/>
    <x v="1"/>
    <x v="275"/>
    <s v="21002"/>
    <n v="100"/>
  </r>
  <r>
    <n v="2"/>
    <s v="Alimentos Congelados"/>
    <x v="97"/>
    <s v="Postres Congelados"/>
    <x v="2"/>
    <x v="276"/>
    <s v="21003"/>
    <n v="100"/>
  </r>
  <r>
    <n v="2"/>
    <s v="Alimentos Congelados"/>
    <x v="97"/>
    <s v="Postres Congelados"/>
    <x v="3"/>
    <x v="277"/>
    <s v="21004"/>
    <n v="100"/>
  </r>
  <r>
    <n v="13"/>
    <s v="Mascota"/>
    <x v="98"/>
    <s v="Premios y Carnazas"/>
    <x v="0"/>
    <x v="5"/>
    <s v="131011"/>
    <n v="101"/>
  </r>
  <r>
    <n v="1"/>
    <s v="Abarrotes"/>
    <x v="99"/>
    <s v="Productos Vegetales y Veganos"/>
    <x v="0"/>
    <x v="278"/>
    <s v="11021"/>
    <n v="102"/>
  </r>
  <r>
    <n v="1"/>
    <s v="Abarrotes"/>
    <x v="99"/>
    <s v="Productos Vegetales y Veganos"/>
    <x v="1"/>
    <x v="279"/>
    <s v="11022"/>
    <n v="102"/>
  </r>
  <r>
    <n v="1"/>
    <s v="Abarrotes"/>
    <x v="99"/>
    <s v="Productos Vegetales y Veganos"/>
    <x v="2"/>
    <x v="280"/>
    <s v="11023"/>
    <n v="102"/>
  </r>
  <r>
    <n v="1"/>
    <s v="Abarrotes"/>
    <x v="99"/>
    <s v="Productos Vegetales y Veganos"/>
    <x v="3"/>
    <x v="281"/>
    <s v="11024"/>
    <n v="102"/>
  </r>
  <r>
    <n v="11"/>
    <s v="Lacteos"/>
    <x v="100"/>
    <s v="Queso"/>
    <x v="0"/>
    <x v="282"/>
    <s v="111031"/>
    <n v="103"/>
  </r>
  <r>
    <n v="11"/>
    <s v="Lacteos"/>
    <x v="100"/>
    <s v="Queso"/>
    <x v="1"/>
    <x v="283"/>
    <s v="111032"/>
    <n v="103"/>
  </r>
  <r>
    <n v="11"/>
    <s v="Lacteos"/>
    <x v="100"/>
    <s v="Queso"/>
    <x v="2"/>
    <x v="284"/>
    <s v="111033"/>
    <n v="103"/>
  </r>
  <r>
    <n v="11"/>
    <s v="Lacteos"/>
    <x v="100"/>
    <s v="Queso"/>
    <x v="3"/>
    <x v="285"/>
    <s v="111034"/>
    <n v="103"/>
  </r>
  <r>
    <n v="11"/>
    <s v="Lacteos"/>
    <x v="100"/>
    <s v="Queso"/>
    <x v="4"/>
    <x v="286"/>
    <s v="111035"/>
    <n v="103"/>
  </r>
  <r>
    <n v="11"/>
    <s v="Lacteos"/>
    <x v="100"/>
    <s v="Queso"/>
    <x v="5"/>
    <x v="287"/>
    <s v="111036"/>
    <n v="103"/>
  </r>
  <r>
    <n v="11"/>
    <s v="Lacteos"/>
    <x v="100"/>
    <s v="Queso"/>
    <x v="6"/>
    <x v="288"/>
    <s v="111037"/>
    <n v="103"/>
  </r>
  <r>
    <n v="12"/>
    <s v="Limpieza"/>
    <x v="101"/>
    <s v="Quitamanchas para ropa"/>
    <x v="0"/>
    <x v="289"/>
    <s v="121041"/>
    <n v="104"/>
  </r>
  <r>
    <n v="14"/>
    <s v="Panadería y tortillería"/>
    <x v="102"/>
    <s v="Repostería y Pastelería"/>
    <x v="0"/>
    <x v="290"/>
    <s v="141051"/>
    <n v="105"/>
  </r>
  <r>
    <n v="4"/>
    <s v="Carnes y Pescados"/>
    <x v="103"/>
    <s v="Res"/>
    <x v="0"/>
    <x v="291"/>
    <s v="41061"/>
    <n v="106"/>
  </r>
  <r>
    <n v="7"/>
    <s v="Farmacia"/>
    <x v="104"/>
    <s v="Respiratorios"/>
    <x v="0"/>
    <x v="292"/>
    <s v="71071"/>
    <n v="107"/>
  </r>
  <r>
    <n v="7"/>
    <s v="Farmacia"/>
    <x v="104"/>
    <s v="Respiratorios"/>
    <x v="1"/>
    <x v="293"/>
    <s v="71072"/>
    <n v="107"/>
  </r>
  <r>
    <n v="1"/>
    <s v="Abarrotes"/>
    <x v="105"/>
    <s v="Salsa, Aderezos y Vinagre"/>
    <x v="0"/>
    <x v="294"/>
    <s v="11081"/>
    <n v="108"/>
  </r>
  <r>
    <n v="1"/>
    <s v="Abarrotes"/>
    <x v="105"/>
    <s v="Salsa, Aderezos y Vinagre"/>
    <x v="1"/>
    <x v="295"/>
    <s v="11082"/>
    <n v="108"/>
  </r>
  <r>
    <n v="1"/>
    <s v="Abarrotes"/>
    <x v="105"/>
    <s v="Salsa, Aderezos y Vinagre"/>
    <x v="2"/>
    <x v="296"/>
    <s v="11083"/>
    <n v="108"/>
  </r>
  <r>
    <n v="1"/>
    <s v="Abarrotes"/>
    <x v="105"/>
    <s v="Salsa, Aderezos y Vinagre"/>
    <x v="3"/>
    <x v="297"/>
    <s v="11084"/>
    <n v="108"/>
  </r>
  <r>
    <n v="1"/>
    <s v="Abarrotes"/>
    <x v="105"/>
    <s v="Salsa, Aderezos y Vinagre"/>
    <x v="4"/>
    <x v="298"/>
    <s v="11085"/>
    <n v="108"/>
  </r>
  <r>
    <n v="1"/>
    <s v="Abarrotes"/>
    <x v="105"/>
    <s v="Salsa, Aderezos y Vinagre"/>
    <x v="5"/>
    <x v="299"/>
    <s v="11086"/>
    <n v="108"/>
  </r>
  <r>
    <n v="1"/>
    <s v="Abarrotes"/>
    <x v="105"/>
    <s v="Salsa, Aderezos y Vinagre"/>
    <x v="6"/>
    <x v="300"/>
    <s v="11087"/>
    <n v="108"/>
  </r>
  <r>
    <n v="7"/>
    <s v="Farmacia"/>
    <x v="106"/>
    <s v="Salud Bucal, Oftalmológico &amp; Oído"/>
    <x v="0"/>
    <x v="5"/>
    <s v="71091"/>
    <n v="109"/>
  </r>
  <r>
    <n v="7"/>
    <s v="Farmacia"/>
    <x v="107"/>
    <s v="Sistema digestivo y Antiparasitarios"/>
    <x v="0"/>
    <x v="5"/>
    <s v="71101"/>
    <n v="110"/>
  </r>
  <r>
    <n v="7"/>
    <s v="Farmacia"/>
    <x v="108"/>
    <s v="Sistema Nervioso"/>
    <x v="0"/>
    <x v="5"/>
    <s v="71111"/>
    <n v="111"/>
  </r>
  <r>
    <n v="7"/>
    <s v="Farmacia"/>
    <x v="109"/>
    <s v="Sistema Urinario"/>
    <x v="0"/>
    <x v="5"/>
    <s v="71121"/>
    <n v="112"/>
  </r>
  <r>
    <n v="1"/>
    <s v="Abarrotes"/>
    <x v="110"/>
    <s v="Snacks y Fruta Seca"/>
    <x v="0"/>
    <x v="301"/>
    <s v="11131"/>
    <n v="113"/>
  </r>
  <r>
    <n v="1"/>
    <s v="Abarrotes"/>
    <x v="110"/>
    <s v="Snacks y Fruta Seca"/>
    <x v="1"/>
    <x v="302"/>
    <s v="11132"/>
    <n v="113"/>
  </r>
  <r>
    <n v="1"/>
    <s v="Abarrotes"/>
    <x v="110"/>
    <s v="Snacks y Fruta Seca"/>
    <x v="2"/>
    <x v="303"/>
    <s v="11133"/>
    <n v="113"/>
  </r>
  <r>
    <n v="1"/>
    <s v="Abarrotes"/>
    <x v="110"/>
    <s v="Snacks y Fruta Seca"/>
    <x v="3"/>
    <x v="304"/>
    <s v="11134"/>
    <n v="113"/>
  </r>
  <r>
    <n v="1"/>
    <s v="Abarrotes"/>
    <x v="110"/>
    <s v="Snacks y Fruta Seca"/>
    <x v="4"/>
    <x v="305"/>
    <s v="11135"/>
    <n v="113"/>
  </r>
  <r>
    <n v="1"/>
    <s v="Abarrotes"/>
    <x v="110"/>
    <s v="Snacks y Fruta Seca"/>
    <x v="5"/>
    <x v="306"/>
    <s v="11136"/>
    <n v="113"/>
  </r>
  <r>
    <n v="1"/>
    <s v="Abarrotes"/>
    <x v="110"/>
    <s v="Snacks y Fruta Seca"/>
    <x v="6"/>
    <x v="307"/>
    <s v="11137"/>
    <n v="113"/>
  </r>
  <r>
    <n v="12"/>
    <s v="Limpieza"/>
    <x v="111"/>
    <s v="Suavizante"/>
    <x v="0"/>
    <x v="308"/>
    <s v="121141"/>
    <n v="114"/>
  </r>
  <r>
    <n v="14"/>
    <s v="Panadería y tortillería"/>
    <x v="112"/>
    <s v="Tortillería"/>
    <x v="0"/>
    <x v="309"/>
    <s v="141151"/>
    <n v="115"/>
  </r>
  <r>
    <n v="14"/>
    <s v="Panadería y tortillería"/>
    <x v="112"/>
    <s v="Tortillería"/>
    <x v="1"/>
    <x v="310"/>
    <s v="141152"/>
    <n v="115"/>
  </r>
  <r>
    <n v="14"/>
    <s v="Panadería y tortillería"/>
    <x v="112"/>
    <s v="Tortillería"/>
    <x v="2"/>
    <x v="311"/>
    <s v="141153"/>
    <n v="115"/>
  </r>
  <r>
    <n v="14"/>
    <s v="Panadería y tortillería"/>
    <x v="112"/>
    <s v="Tortillería"/>
    <x v="3"/>
    <x v="312"/>
    <s v="141154"/>
    <n v="115"/>
  </r>
  <r>
    <n v="8"/>
    <s v="Frutas y Verduras"/>
    <x v="113"/>
    <s v="Verduras"/>
    <x v="0"/>
    <x v="313"/>
    <s v="81161"/>
    <n v="116"/>
  </r>
  <r>
    <n v="8"/>
    <s v="Frutas y Verduras"/>
    <x v="113"/>
    <s v="Verduras"/>
    <x v="1"/>
    <x v="314"/>
    <s v="81162"/>
    <n v="116"/>
  </r>
  <r>
    <n v="8"/>
    <s v="Frutas y Verduras"/>
    <x v="113"/>
    <s v="Verduras"/>
    <x v="2"/>
    <x v="315"/>
    <s v="81163"/>
    <n v="116"/>
  </r>
  <r>
    <n v="8"/>
    <s v="Frutas y Verduras"/>
    <x v="113"/>
    <s v="Verduras"/>
    <x v="3"/>
    <x v="316"/>
    <s v="81164"/>
    <n v="116"/>
  </r>
  <r>
    <n v="8"/>
    <s v="Frutas y Verduras"/>
    <x v="113"/>
    <s v="Verduras"/>
    <x v="4"/>
    <x v="317"/>
    <s v="81165"/>
    <n v="116"/>
  </r>
  <r>
    <n v="8"/>
    <s v="Frutas y Verduras"/>
    <x v="113"/>
    <s v="Verduras"/>
    <x v="5"/>
    <x v="318"/>
    <s v="81166"/>
    <n v="116"/>
  </r>
  <r>
    <n v="5"/>
    <s v="Cervezas, Vinos y Licores"/>
    <x v="114"/>
    <s v="Vinos"/>
    <x v="0"/>
    <x v="319"/>
    <s v="51171"/>
    <n v="117"/>
  </r>
  <r>
    <n v="5"/>
    <s v="Cervezas, Vinos y Licores"/>
    <x v="114"/>
    <s v="Vinos"/>
    <x v="1"/>
    <x v="320"/>
    <s v="51172"/>
    <n v="117"/>
  </r>
  <r>
    <n v="5"/>
    <s v="Cervezas, Vinos y Licores"/>
    <x v="114"/>
    <s v="Vinos"/>
    <x v="2"/>
    <x v="321"/>
    <s v="51173"/>
    <n v="117"/>
  </r>
  <r>
    <n v="5"/>
    <s v="Cervezas, Vinos y Licores"/>
    <x v="114"/>
    <s v="Vinos"/>
    <x v="3"/>
    <x v="322"/>
    <s v="51174"/>
    <n v="117"/>
  </r>
  <r>
    <n v="5"/>
    <s v="Cervezas, Vinos y Licores"/>
    <x v="114"/>
    <s v="Vinos"/>
    <x v="4"/>
    <x v="323"/>
    <s v="51175"/>
    <n v="117"/>
  </r>
  <r>
    <n v="7"/>
    <s v="Farmacia"/>
    <x v="115"/>
    <s v="Vitaminas y Suplementos"/>
    <x v="0"/>
    <x v="324"/>
    <s v="71181"/>
    <n v="118"/>
  </r>
  <r>
    <n v="7"/>
    <s v="Farmacia"/>
    <x v="115"/>
    <s v="Vitaminas y Suplementos"/>
    <x v="1"/>
    <x v="325"/>
    <s v="71182"/>
    <n v="118"/>
  </r>
  <r>
    <n v="7"/>
    <s v="Farmacia"/>
    <x v="115"/>
    <s v="Vitaminas y Suplementos"/>
    <x v="2"/>
    <x v="326"/>
    <s v="71183"/>
    <n v="118"/>
  </r>
  <r>
    <n v="11"/>
    <s v="Lacteos"/>
    <x v="116"/>
    <s v="Yogurt"/>
    <x v="0"/>
    <x v="327"/>
    <s v="111191"/>
    <n v="119"/>
  </r>
  <r>
    <n v="11"/>
    <s v="Lacteos"/>
    <x v="116"/>
    <s v="Yogurt"/>
    <x v="1"/>
    <x v="328"/>
    <s v="111192"/>
    <n v="119"/>
  </r>
  <r>
    <n v="11"/>
    <s v="Lacteos"/>
    <x v="116"/>
    <s v="Yogurt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E681ECBD-8193-4C72-B405-5E691E22AC1D}" autoFormatId="16" applyNumberFormats="0" applyBorderFormats="0" applyFontFormats="0" applyPatternFormats="0" applyAlignmentFormats="0" applyWidthHeightFormats="0">
  <queryTableRefresh nextId="27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5">
    <queryTableFields count="7">
      <queryTableField id="13" name="IdProducto" tableColumnId="12"/>
      <queryTableField id="17" name="NombreProducto" tableColumnId="14"/>
      <queryTableField id="4" name="PrecioUnitario" tableColumnId="4"/>
      <queryTableField id="18" name="CantidadDisponible" tableColumnId="15"/>
      <queryTableField id="2" name="UnidadMedida" tableColumnId="2"/>
      <queryTableField id="12" name="UnidadMedidaComercial" tableColumnId="11"/>
      <queryTableField id="19" name="Comentario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7E4F6481-6702-44BE-B2AC-24335E9CB960}" autoFormatId="16" applyNumberFormats="0" applyBorderFormats="0" applyFontFormats="0" applyPatternFormats="0" applyAlignmentFormats="0" applyWidthHeightFormats="0">
  <queryTableRefresh nextId="55">
    <queryTableFields count="14">
      <queryTableField id="32" name="facturaID" tableColumnId="2"/>
      <queryTableField id="1" name="FechaEmision" tableColumnId="1"/>
      <queryTableField id="33" name="IdPersoneria" tableColumnId="3"/>
      <queryTableField id="53" name="IdProducto" tableColumnId="18"/>
      <queryTableField id="5" name="CondicionVenta" tableColumnId="5"/>
      <queryTableField id="6" name="PlazoCredito" tableColumnId="6"/>
      <queryTableField id="7" name="MedioPago" tableColumnId="7"/>
      <queryTableField id="34" name="Codigo" tableColumnId="4"/>
      <queryTableField id="35" name="Cantidad" tableColumnId="8"/>
      <queryTableField id="39" name="PrecioUnitario" tableColumnId="12"/>
      <queryTableField id="40" name="MontoTotal" tableColumnId="13"/>
      <queryTableField id="41" name="MontoDescuento" tableColumnId="14"/>
      <queryTableField id="42" name="NaturalezaDescuento" tableColumnId="15"/>
      <queryTableField id="43" name="ImpuestoNeto" tableColumnId="1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4081E-4D62-4CCE-A498-F4AE1C8457A7}" name="RutaFacturas" displayName="RutaFacturas" ref="B3:B4" totalsRowShown="0">
  <autoFilter ref="B3:B4" xr:uid="{9094081E-4D62-4CCE-A498-F4AE1C8457A7}"/>
  <tableColumns count="1">
    <tableColumn id="1" xr3:uid="{BF1B3975-85CF-47BD-ACCB-9A41C768FD78}" name="Fol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3" tableType="queryTable" totalsRowShown="0">
  <autoFilter ref="A1:E3" xr:uid="{78D15534-5492-4DBE-8E9C-E2619671BBE7}"/>
  <tableColumns count="5">
    <tableColumn id="1" xr3:uid="{C97F9151-522B-4245-BD9C-66E7C7E5562F}" uniqueName="1" name="IdPersoneria" queryTableFieldId="19" dataDxfId="18"/>
    <tableColumn id="2" xr3:uid="{ED79ED14-C4D8-41D5-9220-C59AA44C1C9E}" uniqueName="2" name="nombre" queryTableFieldId="20" dataDxfId="17"/>
    <tableColumn id="3" xr3:uid="{17BCC0D9-D64F-4523-93C3-37D6CA3F2301}" uniqueName="3" name="NombreComercial" queryTableFieldId="21" dataDxfId="16"/>
    <tableColumn id="4" xr3:uid="{6825A8A3-080D-4A57-8215-D3C9E0E92EBD}" uniqueName="4" name="NumTelefono" queryTableFieldId="22" dataDxfId="15"/>
    <tableColumn id="5" xr3:uid="{C94C649B-900E-475E-9978-50838A0C7BC1}" uniqueName="5" name="CorreoElectronico" queryTableFieldId="2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G5" tableType="queryTable" totalsRowShown="0">
  <autoFilter ref="A1:G5" xr:uid="{9A57671D-5E19-427D-939D-E7F0717CA482}"/>
  <tableColumns count="7">
    <tableColumn id="12" xr3:uid="{AEAA15CC-5D40-4351-97CD-135EA102DE20}" uniqueName="12" name="IdProducto" queryTableFieldId="13" dataDxfId="13"/>
    <tableColumn id="14" xr3:uid="{2A63A511-9E10-403D-B7E3-5DBA31B382C0}" uniqueName="14" name="NombreProducto" queryTableFieldId="17" dataDxfId="12"/>
    <tableColumn id="4" xr3:uid="{ADE7F1A2-9161-4D52-B112-5A0A75F80281}" uniqueName="4" name="PrecioUnitario" queryTableFieldId="4"/>
    <tableColumn id="15" xr3:uid="{AA56D387-DB65-4C28-A5A7-CE024566C77E}" uniqueName="15" name="CantidadDisponible" queryTableFieldId="18"/>
    <tableColumn id="2" xr3:uid="{A29A3ED3-4F2C-4F04-B92F-A35F555BD826}" uniqueName="2" name="UnidadMedida" queryTableFieldId="2" dataDxfId="11"/>
    <tableColumn id="11" xr3:uid="{876DA6D5-A6EC-46D3-BCC4-392B93156DCA}" uniqueName="11" name="UnidadMedidaComercial" queryTableFieldId="12" dataDxfId="10"/>
    <tableColumn id="16" xr3:uid="{387FF473-12C9-452C-AFC7-6DB1C611C7ED}" uniqueName="16" name="Comentario" queryTableFieldId="19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A69C4E-5589-440A-9941-2BB713472DE8}" name="factura" displayName="factura" ref="A1:N5" tableType="queryTable" totalsRowShown="0">
  <autoFilter ref="A1:N5" xr:uid="{7DA69C4E-5589-440A-9941-2BB713472DE8}"/>
  <sortState xmlns:xlrd2="http://schemas.microsoft.com/office/spreadsheetml/2017/richdata2" ref="A2:N5">
    <sortCondition ref="B1:B5"/>
  </sortState>
  <tableColumns count="14">
    <tableColumn id="2" xr3:uid="{7713761B-9F27-4BFA-8881-C74D0F231F7F}" uniqueName="2" name="facturaID" queryTableFieldId="32" dataDxfId="8"/>
    <tableColumn id="1" xr3:uid="{B890520D-2C41-4611-AA1B-9A7E921ABF8E}" uniqueName="1" name="FechaEmision" queryTableFieldId="1" dataDxfId="7"/>
    <tableColumn id="3" xr3:uid="{1D2F74F2-5B5C-4BFE-878A-2B8A2AF56FA0}" uniqueName="3" name="IdPersoneria" queryTableFieldId="33" dataDxfId="6"/>
    <tableColumn id="18" xr3:uid="{FA1C8C79-EF53-4FED-BBF4-61A794D472BA}" uniqueName="18" name="IdProducto" queryTableFieldId="53" dataDxfId="5"/>
    <tableColumn id="5" xr3:uid="{2F396936-17E2-4295-A118-EC08FD03A11B}" uniqueName="5" name="CondicionVenta" queryTableFieldId="5"/>
    <tableColumn id="6" xr3:uid="{C86AE698-4418-412C-9C31-7A89919B1B88}" uniqueName="6" name="PlazoCredito" queryTableFieldId="6" dataDxfId="4"/>
    <tableColumn id="7" xr3:uid="{44D80F73-950D-4432-9FF4-40CF7C5C1B9F}" uniqueName="7" name="MedioPago" queryTableFieldId="7"/>
    <tableColumn id="4" xr3:uid="{97ABB9D5-EE08-4E33-B073-E5969F4B6FBB}" uniqueName="4" name="Codigo" queryTableFieldId="34" dataDxfId="3"/>
    <tableColumn id="8" xr3:uid="{9036EB62-C585-4962-8284-77D767CA9FD7}" uniqueName="8" name="Cantidad" queryTableFieldId="35"/>
    <tableColumn id="12" xr3:uid="{D3F780F4-057C-49A6-9960-0CC21B0D2B1B}" uniqueName="12" name="PrecioUnitario" queryTableFieldId="39"/>
    <tableColumn id="13" xr3:uid="{6384D957-2989-4BB0-B7F3-D6C44D4AA5A0}" uniqueName="13" name="MontoTotal" queryTableFieldId="40"/>
    <tableColumn id="14" xr3:uid="{BE0C6387-E08A-445A-98FD-7932B276CD3A}" uniqueName="14" name="MontoDescuento" queryTableFieldId="41"/>
    <tableColumn id="15" xr3:uid="{95197C2A-0D13-4369-BEB5-8A55D547A0F3}" uniqueName="15" name="NaturalezaDescuento" queryTableFieldId="42" dataDxfId="2"/>
    <tableColumn id="16" xr3:uid="{B3334DBA-D19C-4E43-8311-CE2D53D69F3A}" uniqueName="16" name="ImpuestoNeto" queryTableField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1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0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232D7-6027-4BA1-97D3-D42D22F5037F}">
  <sheetPr codeName="Sheet1"/>
  <dimension ref="B3:B4"/>
  <sheetViews>
    <sheetView workbookViewId="0">
      <selection activeCell="B11" sqref="B11"/>
    </sheetView>
  </sheetViews>
  <sheetFormatPr defaultRowHeight="14.25" x14ac:dyDescent="0.2"/>
  <cols>
    <col min="2" max="2" width="44.25" bestFit="1" customWidth="1"/>
  </cols>
  <sheetData>
    <row r="3" spans="2:2" x14ac:dyDescent="0.2">
      <c r="B3" t="s">
        <v>1217</v>
      </c>
    </row>
    <row r="4" spans="2:2" x14ac:dyDescent="0.2">
      <c r="B4" t="s">
        <v>1216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3"/>
  <sheetViews>
    <sheetView workbookViewId="0">
      <selection activeCell="B2" sqref="B2"/>
    </sheetView>
  </sheetViews>
  <sheetFormatPr defaultColWidth="11" defaultRowHeight="14.25" x14ac:dyDescent="0.2"/>
  <cols>
    <col min="1" max="1" width="14.25" bestFit="1" customWidth="1"/>
    <col min="2" max="3" width="27.25" bestFit="1" customWidth="1"/>
    <col min="4" max="4" width="15" bestFit="1" customWidth="1"/>
    <col min="5" max="5" width="19.5" bestFit="1" customWidth="1"/>
    <col min="6" max="6" width="43.125" bestFit="1" customWidth="1"/>
    <col min="7" max="7" width="7.875" bestFit="1" customWidth="1"/>
    <col min="8" max="8" width="43.125" bestFit="1" customWidth="1"/>
    <col min="9" max="9" width="23" bestFit="1" customWidth="1"/>
    <col min="10" max="10" width="17.375" bestFit="1" customWidth="1"/>
    <col min="11" max="11" width="21.25" bestFit="1" customWidth="1"/>
    <col min="12" max="12" width="15.25" bestFit="1" customWidth="1"/>
    <col min="13" max="13" width="35.75" bestFit="1" customWidth="1"/>
    <col min="14" max="14" width="26.125" bestFit="1" customWidth="1"/>
    <col min="15" max="15" width="29.25" bestFit="1" customWidth="1"/>
    <col min="16" max="16" width="35.75" bestFit="1" customWidth="1"/>
    <col min="17" max="17" width="27.375" bestFit="1" customWidth="1"/>
    <col min="18" max="18" width="25.375" bestFit="1" customWidth="1"/>
    <col min="19" max="19" width="25.5" bestFit="1" customWidth="1"/>
    <col min="20" max="20" width="24.5" bestFit="1" customWidth="1"/>
    <col min="21" max="21" width="81" bestFit="1" customWidth="1"/>
    <col min="22" max="22" width="28.5" bestFit="1" customWidth="1"/>
    <col min="23" max="23" width="30.375" bestFit="1" customWidth="1"/>
    <col min="24" max="24" width="23.5" bestFit="1" customWidth="1"/>
    <col min="25" max="25" width="25.375" bestFit="1" customWidth="1"/>
    <col min="26" max="26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t="s">
        <v>8</v>
      </c>
      <c r="B2" t="s">
        <v>1218</v>
      </c>
      <c r="C2" t="s">
        <v>1218</v>
      </c>
      <c r="D2" t="s">
        <v>1219</v>
      </c>
      <c r="E2" t="s">
        <v>1220</v>
      </c>
    </row>
    <row r="3" spans="1:5" x14ac:dyDescent="0.2">
      <c r="A3" t="s">
        <v>307</v>
      </c>
      <c r="B3" t="s">
        <v>1178</v>
      </c>
      <c r="C3" t="s">
        <v>1178</v>
      </c>
      <c r="D3" t="s">
        <v>1179</v>
      </c>
      <c r="E3" t="s">
        <v>1180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G5"/>
  <sheetViews>
    <sheetView tabSelected="1" workbookViewId="0">
      <selection activeCell="D4" sqref="D4"/>
    </sheetView>
  </sheetViews>
  <sheetFormatPr defaultColWidth="11" defaultRowHeight="14.25" x14ac:dyDescent="0.2"/>
  <cols>
    <col min="1" max="1" width="16" bestFit="1" customWidth="1"/>
    <col min="2" max="2" width="51.875" bestFit="1" customWidth="1"/>
    <col min="3" max="3" width="15.75" bestFit="1" customWidth="1"/>
    <col min="4" max="4" width="20.5" bestFit="1" customWidth="1"/>
    <col min="5" max="5" width="15.75" bestFit="1" customWidth="1"/>
    <col min="6" max="6" width="24.875" bestFit="1" customWidth="1"/>
    <col min="7" max="7" width="13.125" bestFit="1" customWidth="1"/>
    <col min="8" max="8" width="10" bestFit="1" customWidth="1"/>
    <col min="9" max="9" width="15.75" bestFit="1" customWidth="1"/>
    <col min="10" max="10" width="24.875" bestFit="1" customWidth="1"/>
    <col min="11" max="11" width="16.375" bestFit="1" customWidth="1"/>
    <col min="12" max="12" width="13.125" bestFit="1" customWidth="1"/>
    <col min="13" max="13" width="6.375" bestFit="1" customWidth="1"/>
    <col min="14" max="14" width="6.375" customWidth="1"/>
    <col min="15" max="15" width="13.125" customWidth="1"/>
    <col min="16" max="16" width="6.375" bestFit="1" customWidth="1"/>
    <col min="17" max="17" width="14" customWidth="1"/>
    <col min="18" max="18" width="10" bestFit="1" customWidth="1"/>
    <col min="19" max="19" width="16" bestFit="1" customWidth="1"/>
    <col min="20" max="20" width="16.25" bestFit="1" customWidth="1"/>
    <col min="21" max="21" width="10" bestFit="1" customWidth="1"/>
  </cols>
  <sheetData>
    <row r="1" spans="1:7" x14ac:dyDescent="0.2">
      <c r="A1" t="s">
        <v>1202</v>
      </c>
      <c r="B1" t="s">
        <v>1205</v>
      </c>
      <c r="C1" t="s">
        <v>20</v>
      </c>
      <c r="D1" t="s">
        <v>1206</v>
      </c>
      <c r="E1" t="s">
        <v>18</v>
      </c>
      <c r="F1" t="s">
        <v>17</v>
      </c>
      <c r="G1" t="s">
        <v>1210</v>
      </c>
    </row>
    <row r="2" spans="1:7" x14ac:dyDescent="0.2">
      <c r="A2" t="s">
        <v>1223</v>
      </c>
      <c r="B2" t="s">
        <v>6</v>
      </c>
      <c r="C2">
        <v>11119.16</v>
      </c>
      <c r="D2">
        <v>10</v>
      </c>
      <c r="E2" t="s">
        <v>4</v>
      </c>
      <c r="F2" t="s">
        <v>1185</v>
      </c>
      <c r="G2" t="s">
        <v>1185</v>
      </c>
    </row>
    <row r="3" spans="1:7" x14ac:dyDescent="0.2">
      <c r="A3" t="s">
        <v>1186</v>
      </c>
      <c r="B3" t="s">
        <v>312</v>
      </c>
      <c r="C3">
        <v>15356</v>
      </c>
      <c r="D3">
        <v>2</v>
      </c>
      <c r="E3" t="s">
        <v>4</v>
      </c>
      <c r="F3" t="s">
        <v>1182</v>
      </c>
      <c r="G3" t="s">
        <v>1185</v>
      </c>
    </row>
    <row r="4" spans="1:7" x14ac:dyDescent="0.2">
      <c r="A4" t="s">
        <v>1187</v>
      </c>
      <c r="B4" t="s">
        <v>335</v>
      </c>
      <c r="C4">
        <v>22840</v>
      </c>
      <c r="D4">
        <v>2</v>
      </c>
      <c r="E4" t="s">
        <v>4</v>
      </c>
      <c r="F4" t="s">
        <v>1182</v>
      </c>
      <c r="G4" t="s">
        <v>1185</v>
      </c>
    </row>
    <row r="5" spans="1:7" x14ac:dyDescent="0.2">
      <c r="A5" t="s">
        <v>1188</v>
      </c>
      <c r="B5" t="s">
        <v>316</v>
      </c>
      <c r="C5">
        <v>15356</v>
      </c>
      <c r="D5">
        <v>5</v>
      </c>
      <c r="E5" t="s">
        <v>4</v>
      </c>
      <c r="F5" t="s">
        <v>1182</v>
      </c>
      <c r="G5" t="s">
        <v>1185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A66E-A193-4735-9D44-ACBF692B09A4}">
  <sheetPr codeName="Hoja3"/>
  <dimension ref="A1:N5"/>
  <sheetViews>
    <sheetView zoomScale="85" zoomScaleNormal="85" workbookViewId="0">
      <selection activeCell="D4" sqref="D4"/>
    </sheetView>
  </sheetViews>
  <sheetFormatPr defaultColWidth="11" defaultRowHeight="14.25" x14ac:dyDescent="0.2"/>
  <cols>
    <col min="1" max="1" width="19.875" bestFit="1" customWidth="1"/>
    <col min="2" max="2" width="15.375" bestFit="1" customWidth="1"/>
    <col min="3" max="3" width="14.25" bestFit="1" customWidth="1"/>
    <col min="4" max="4" width="16.625" bestFit="1" customWidth="1"/>
    <col min="5" max="5" width="17" bestFit="1" customWidth="1"/>
    <col min="6" max="6" width="14.375" bestFit="1" customWidth="1"/>
    <col min="7" max="7" width="12.875" bestFit="1" customWidth="1"/>
    <col min="8" max="8" width="14.5" bestFit="1" customWidth="1"/>
    <col min="9" max="9" width="10.75" bestFit="1" customWidth="1"/>
    <col min="10" max="10" width="15.75" bestFit="1" customWidth="1"/>
    <col min="11" max="11" width="13" bestFit="1" customWidth="1"/>
    <col min="12" max="12" width="18.25" bestFit="1" customWidth="1"/>
    <col min="13" max="13" width="22.25" bestFit="1" customWidth="1"/>
    <col min="14" max="14" width="15.375" bestFit="1" customWidth="1"/>
    <col min="15" max="15" width="18.25" bestFit="1" customWidth="1"/>
    <col min="16" max="16" width="22.25" bestFit="1" customWidth="1"/>
    <col min="17" max="17" width="15.375" customWidth="1"/>
    <col min="18" max="18" width="43.375" bestFit="1" customWidth="1"/>
    <col min="19" max="19" width="8.125" bestFit="1" customWidth="1"/>
    <col min="20" max="20" width="43.125" bestFit="1" customWidth="1"/>
    <col min="21" max="21" width="8.125" bestFit="1" customWidth="1"/>
    <col min="22" max="22" width="43.125" bestFit="1" customWidth="1"/>
    <col min="23" max="24" width="7.875" bestFit="1" customWidth="1"/>
    <col min="25" max="25" width="28.75" bestFit="1" customWidth="1"/>
    <col min="26" max="26" width="16.875" bestFit="1" customWidth="1"/>
    <col min="27" max="27" width="14.375" bestFit="1" customWidth="1"/>
    <col min="28" max="28" width="12.875" bestFit="1" customWidth="1"/>
    <col min="29" max="29" width="35.5" bestFit="1" customWidth="1"/>
    <col min="30" max="30" width="37" bestFit="1" customWidth="1"/>
    <col min="31" max="31" width="42" bestFit="1" customWidth="1"/>
    <col min="32" max="32" width="51.125" bestFit="1" customWidth="1"/>
    <col min="33" max="33" width="61.75" bestFit="1" customWidth="1"/>
    <col min="34" max="34" width="42" bestFit="1" customWidth="1"/>
    <col min="35" max="35" width="39.375" bestFit="1" customWidth="1"/>
    <col min="36" max="36" width="37.125" bestFit="1" customWidth="1"/>
    <col min="37" max="37" width="43.625" bestFit="1" customWidth="1"/>
    <col min="38" max="38" width="41.625" bestFit="1" customWidth="1"/>
    <col min="39" max="39" width="44.375" customWidth="1"/>
    <col min="40" max="40" width="42.125" bestFit="1" customWidth="1"/>
    <col min="41" max="41" width="30.875" bestFit="1" customWidth="1"/>
    <col min="42" max="42" width="28.25" bestFit="1" customWidth="1"/>
    <col min="43" max="43" width="34" bestFit="1" customWidth="1"/>
    <col min="44" max="44" width="32.375" bestFit="1" customWidth="1"/>
    <col min="45" max="45" width="31.375" bestFit="1" customWidth="1"/>
    <col min="46" max="47" width="35.375" bestFit="1" customWidth="1"/>
    <col min="48" max="48" width="7.875" bestFit="1" customWidth="1"/>
    <col min="49" max="49" width="31.375" bestFit="1" customWidth="1"/>
  </cols>
  <sheetData>
    <row r="1" spans="1:14" x14ac:dyDescent="0.2">
      <c r="A1" s="4" t="s">
        <v>14</v>
      </c>
      <c r="B1" t="s">
        <v>0</v>
      </c>
      <c r="C1" t="s">
        <v>9</v>
      </c>
      <c r="D1" t="s">
        <v>1202</v>
      </c>
      <c r="E1" t="s">
        <v>1</v>
      </c>
      <c r="F1" t="s">
        <v>2</v>
      </c>
      <c r="G1" t="s">
        <v>3</v>
      </c>
      <c r="H1" t="s">
        <v>15</v>
      </c>
      <c r="I1" t="s">
        <v>16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</row>
    <row r="2" spans="1:14" x14ac:dyDescent="0.2">
      <c r="A2" t="s">
        <v>334</v>
      </c>
      <c r="B2" s="1">
        <v>45443.585520833331</v>
      </c>
      <c r="C2">
        <v>3101173639</v>
      </c>
      <c r="D2" t="s">
        <v>1186</v>
      </c>
      <c r="E2">
        <v>1</v>
      </c>
      <c r="F2" t="s">
        <v>1181</v>
      </c>
      <c r="G2">
        <v>1</v>
      </c>
      <c r="H2" t="s">
        <v>311</v>
      </c>
      <c r="I2">
        <v>2</v>
      </c>
      <c r="J2">
        <v>15356</v>
      </c>
      <c r="K2">
        <v>30712</v>
      </c>
      <c r="N2">
        <v>307.12</v>
      </c>
    </row>
    <row r="3" spans="1:14" x14ac:dyDescent="0.2">
      <c r="A3" t="s">
        <v>334</v>
      </c>
      <c r="B3" s="1">
        <v>45443.585520833331</v>
      </c>
      <c r="C3">
        <v>3101173639</v>
      </c>
      <c r="D3" t="s">
        <v>1187</v>
      </c>
      <c r="E3">
        <v>1</v>
      </c>
      <c r="F3" t="s">
        <v>1181</v>
      </c>
      <c r="G3">
        <v>1</v>
      </c>
      <c r="H3" t="s">
        <v>313</v>
      </c>
      <c r="I3">
        <v>2</v>
      </c>
      <c r="J3">
        <v>22840</v>
      </c>
      <c r="K3">
        <v>45680</v>
      </c>
      <c r="N3">
        <v>456.8</v>
      </c>
    </row>
    <row r="4" spans="1:14" x14ac:dyDescent="0.2">
      <c r="A4" t="s">
        <v>334</v>
      </c>
      <c r="B4" s="1">
        <v>45443.585520833331</v>
      </c>
      <c r="C4">
        <v>3101173639</v>
      </c>
      <c r="D4" t="s">
        <v>1188</v>
      </c>
      <c r="E4">
        <v>1</v>
      </c>
      <c r="F4" t="s">
        <v>1181</v>
      </c>
      <c r="G4">
        <v>1</v>
      </c>
      <c r="H4" t="s">
        <v>315</v>
      </c>
      <c r="I4">
        <v>5</v>
      </c>
      <c r="J4">
        <v>15356</v>
      </c>
      <c r="K4">
        <v>76780</v>
      </c>
      <c r="N4">
        <v>767.8</v>
      </c>
    </row>
    <row r="5" spans="1:14" x14ac:dyDescent="0.2">
      <c r="A5" t="s">
        <v>7</v>
      </c>
      <c r="B5" s="1">
        <v>45446.59375</v>
      </c>
      <c r="C5">
        <v>3101065647</v>
      </c>
      <c r="D5" t="s">
        <v>1223</v>
      </c>
      <c r="E5">
        <v>1</v>
      </c>
      <c r="F5" t="s">
        <v>1221</v>
      </c>
      <c r="G5">
        <v>4</v>
      </c>
      <c r="H5" t="s">
        <v>5</v>
      </c>
      <c r="I5">
        <v>10</v>
      </c>
      <c r="J5">
        <v>11119.16</v>
      </c>
      <c r="K5">
        <v>111191.6</v>
      </c>
      <c r="L5">
        <v>5560</v>
      </c>
      <c r="M5" t="s">
        <v>1222</v>
      </c>
      <c r="N5">
        <v>1056.32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C5" sqref="C5"/>
    </sheetView>
  </sheetViews>
  <sheetFormatPr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6" t="s">
        <v>1202</v>
      </c>
      <c r="B1" s="6" t="s">
        <v>1203</v>
      </c>
      <c r="C1" s="6" t="s">
        <v>1184</v>
      </c>
      <c r="D1" s="6" t="s">
        <v>1204</v>
      </c>
      <c r="E1" s="2" t="s">
        <v>15</v>
      </c>
      <c r="F1" s="6" t="s">
        <v>1205</v>
      </c>
      <c r="G1" s="6" t="s">
        <v>20</v>
      </c>
      <c r="H1" s="6" t="s">
        <v>1206</v>
      </c>
      <c r="I1" s="6" t="s">
        <v>336</v>
      </c>
      <c r="J1" s="2" t="s">
        <v>18</v>
      </c>
      <c r="K1" s="2" t="s">
        <v>17</v>
      </c>
      <c r="L1" s="6" t="s">
        <v>1207</v>
      </c>
      <c r="M1" s="6" t="s">
        <v>1208</v>
      </c>
      <c r="N1" s="6" t="s">
        <v>1209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1186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1182</v>
      </c>
      <c r="Q3" t="s">
        <v>1187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1182</v>
      </c>
      <c r="M4" s="5"/>
      <c r="Q4" t="s">
        <v>1188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1182</v>
      </c>
      <c r="Q5" t="s">
        <v>1189</v>
      </c>
      <c r="R5" t="s">
        <v>377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1190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1191</v>
      </c>
      <c r="R7" t="s">
        <v>365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1201</v>
      </c>
      <c r="H8">
        <v>3</v>
      </c>
      <c r="J8" t="s">
        <v>268</v>
      </c>
      <c r="Q8" t="s">
        <v>1192</v>
      </c>
      <c r="R8" t="s">
        <v>367</v>
      </c>
    </row>
    <row r="9" spans="1:18" x14ac:dyDescent="0.2">
      <c r="A9" t="str">
        <f t="shared" si="0"/>
        <v>319120099030016</v>
      </c>
      <c r="C9">
        <v>3101289929</v>
      </c>
      <c r="E9" t="s">
        <v>366</v>
      </c>
      <c r="F9" t="s">
        <v>367</v>
      </c>
      <c r="H9">
        <v>10</v>
      </c>
      <c r="J9" t="s">
        <v>268</v>
      </c>
      <c r="Q9" t="s">
        <v>1193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1194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1195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375</v>
      </c>
      <c r="H12">
        <v>27.137</v>
      </c>
      <c r="J12" t="s">
        <v>268</v>
      </c>
      <c r="Q12" t="s">
        <v>1196</v>
      </c>
      <c r="R12" t="s">
        <v>362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377</v>
      </c>
      <c r="H13">
        <v>13.477</v>
      </c>
      <c r="J13" t="s">
        <v>268</v>
      </c>
      <c r="Q13" t="s">
        <v>1197</v>
      </c>
      <c r="R13" t="s">
        <v>370</v>
      </c>
    </row>
    <row r="14" spans="1:18" x14ac:dyDescent="0.2">
      <c r="A14" t="str">
        <f t="shared" si="0"/>
        <v>353340100000014</v>
      </c>
      <c r="C14">
        <v>3101289929</v>
      </c>
      <c r="E14" t="s">
        <v>369</v>
      </c>
      <c r="F14" t="s">
        <v>370</v>
      </c>
      <c r="H14">
        <v>8</v>
      </c>
      <c r="J14" t="s">
        <v>268</v>
      </c>
      <c r="Q14" t="s">
        <v>1198</v>
      </c>
      <c r="R14" t="s">
        <v>372</v>
      </c>
    </row>
    <row r="15" spans="1:18" x14ac:dyDescent="0.2">
      <c r="A15" t="str">
        <f t="shared" si="0"/>
        <v>363209903990017</v>
      </c>
      <c r="C15">
        <v>3101289929</v>
      </c>
      <c r="E15" t="s">
        <v>364</v>
      </c>
      <c r="F15" t="s">
        <v>365</v>
      </c>
      <c r="H15">
        <v>25</v>
      </c>
      <c r="J15" t="s">
        <v>268</v>
      </c>
      <c r="Q15" t="s">
        <v>1199</v>
      </c>
      <c r="R15" t="s">
        <v>373</v>
      </c>
    </row>
    <row r="16" spans="1:18" x14ac:dyDescent="0.2">
      <c r="A16" t="str">
        <f t="shared" si="0"/>
        <v>364100199990025</v>
      </c>
      <c r="C16">
        <v>3101289929</v>
      </c>
      <c r="E16" t="s">
        <v>371</v>
      </c>
      <c r="F16" t="s">
        <v>372</v>
      </c>
      <c r="H16">
        <v>1</v>
      </c>
      <c r="J16" t="s">
        <v>268</v>
      </c>
      <c r="Q16" t="s">
        <v>1200</v>
      </c>
      <c r="R16" t="s">
        <v>375</v>
      </c>
    </row>
    <row r="17" spans="1:11" x14ac:dyDescent="0.2">
      <c r="A17" t="str">
        <f t="shared" si="0"/>
        <v>364100199990026</v>
      </c>
      <c r="C17">
        <v>3101289929</v>
      </c>
      <c r="E17" t="s">
        <v>371</v>
      </c>
      <c r="F17" t="s">
        <v>373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379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379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361</v>
      </c>
      <c r="F25" t="s">
        <v>362</v>
      </c>
      <c r="H25">
        <v>1</v>
      </c>
      <c r="J25" t="s">
        <v>1183</v>
      </c>
      <c r="K25" t="s">
        <v>268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defaultColWidth="11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62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1175</v>
      </c>
      <c r="B1" t="s">
        <v>734</v>
      </c>
      <c r="C1" t="s">
        <v>1176</v>
      </c>
      <c r="D1" t="s">
        <v>1173</v>
      </c>
      <c r="E1" t="s">
        <v>1177</v>
      </c>
      <c r="F1" t="s">
        <v>1174</v>
      </c>
      <c r="G1" t="s">
        <v>733</v>
      </c>
      <c r="H1" t="s">
        <v>1215</v>
      </c>
      <c r="J1" s="3" t="s">
        <v>1176</v>
      </c>
      <c r="K1" s="3" t="s">
        <v>1177</v>
      </c>
      <c r="L1" s="3" t="s">
        <v>1174</v>
      </c>
    </row>
    <row r="2" spans="1:12" x14ac:dyDescent="0.2">
      <c r="A2">
        <v>12</v>
      </c>
      <c r="B2" t="s">
        <v>972</v>
      </c>
      <c r="C2">
        <v>1</v>
      </c>
      <c r="D2" t="s">
        <v>963</v>
      </c>
      <c r="E2">
        <v>1</v>
      </c>
      <c r="F2" t="s">
        <v>992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992</v>
      </c>
    </row>
    <row r="3" spans="1:12" x14ac:dyDescent="0.2">
      <c r="A3">
        <v>12</v>
      </c>
      <c r="B3" t="s">
        <v>972</v>
      </c>
      <c r="C3">
        <v>1</v>
      </c>
      <c r="D3" t="s">
        <v>963</v>
      </c>
      <c r="E3">
        <v>2</v>
      </c>
      <c r="F3" t="s">
        <v>993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993</v>
      </c>
    </row>
    <row r="4" spans="1:12" x14ac:dyDescent="0.2">
      <c r="A4">
        <v>12</v>
      </c>
      <c r="B4" t="s">
        <v>972</v>
      </c>
      <c r="C4">
        <v>1</v>
      </c>
      <c r="D4" t="s">
        <v>963</v>
      </c>
      <c r="E4">
        <v>3</v>
      </c>
      <c r="F4" t="s">
        <v>994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994</v>
      </c>
    </row>
    <row r="5" spans="1:12" x14ac:dyDescent="0.2">
      <c r="A5">
        <v>12</v>
      </c>
      <c r="B5" t="s">
        <v>972</v>
      </c>
      <c r="C5">
        <v>1</v>
      </c>
      <c r="D5" t="s">
        <v>963</v>
      </c>
      <c r="E5">
        <v>4</v>
      </c>
      <c r="F5" t="s">
        <v>995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995</v>
      </c>
    </row>
    <row r="6" spans="1:12" x14ac:dyDescent="0.2">
      <c r="A6">
        <v>12</v>
      </c>
      <c r="B6" t="s">
        <v>972</v>
      </c>
      <c r="C6">
        <v>1</v>
      </c>
      <c r="D6" t="s">
        <v>963</v>
      </c>
      <c r="E6">
        <v>5</v>
      </c>
      <c r="F6" t="s">
        <v>996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996</v>
      </c>
    </row>
    <row r="7" spans="1:12" x14ac:dyDescent="0.2">
      <c r="A7">
        <v>13</v>
      </c>
      <c r="B7" t="s">
        <v>1163</v>
      </c>
      <c r="C7">
        <v>2</v>
      </c>
      <c r="D7" t="s">
        <v>1168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1224</v>
      </c>
    </row>
    <row r="8" spans="1:12" x14ac:dyDescent="0.2">
      <c r="A8">
        <v>1</v>
      </c>
      <c r="B8" t="s">
        <v>713</v>
      </c>
      <c r="C8">
        <v>3</v>
      </c>
      <c r="D8" t="s">
        <v>727</v>
      </c>
      <c r="E8">
        <v>1</v>
      </c>
      <c r="F8" t="s">
        <v>803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803</v>
      </c>
    </row>
    <row r="9" spans="1:12" x14ac:dyDescent="0.2">
      <c r="A9">
        <v>1</v>
      </c>
      <c r="B9" t="s">
        <v>713</v>
      </c>
      <c r="C9">
        <v>3</v>
      </c>
      <c r="D9" t="s">
        <v>727</v>
      </c>
      <c r="E9">
        <v>2</v>
      </c>
      <c r="F9" t="s">
        <v>804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804</v>
      </c>
    </row>
    <row r="10" spans="1:12" x14ac:dyDescent="0.2">
      <c r="A10">
        <v>1</v>
      </c>
      <c r="B10" t="s">
        <v>713</v>
      </c>
      <c r="C10">
        <v>3</v>
      </c>
      <c r="D10" t="s">
        <v>727</v>
      </c>
      <c r="E10">
        <v>3</v>
      </c>
      <c r="F10" t="s">
        <v>805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805</v>
      </c>
    </row>
    <row r="11" spans="1:12" x14ac:dyDescent="0.2">
      <c r="A11">
        <v>1</v>
      </c>
      <c r="B11" t="s">
        <v>713</v>
      </c>
      <c r="C11">
        <v>3</v>
      </c>
      <c r="D11" t="s">
        <v>727</v>
      </c>
      <c r="E11">
        <v>4</v>
      </c>
      <c r="F11" t="s">
        <v>806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806</v>
      </c>
    </row>
    <row r="12" spans="1:12" x14ac:dyDescent="0.2">
      <c r="A12">
        <v>1</v>
      </c>
      <c r="B12" t="s">
        <v>713</v>
      </c>
      <c r="C12">
        <v>3</v>
      </c>
      <c r="D12" t="s">
        <v>727</v>
      </c>
      <c r="E12">
        <v>5</v>
      </c>
      <c r="F12" t="s">
        <v>807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807</v>
      </c>
    </row>
    <row r="13" spans="1:12" x14ac:dyDescent="0.2">
      <c r="A13">
        <v>9</v>
      </c>
      <c r="B13" t="s">
        <v>1047</v>
      </c>
      <c r="C13">
        <v>4</v>
      </c>
      <c r="D13" t="s">
        <v>1054</v>
      </c>
      <c r="E13">
        <v>1</v>
      </c>
      <c r="F13" t="s">
        <v>1099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1099</v>
      </c>
    </row>
    <row r="14" spans="1:12" x14ac:dyDescent="0.2">
      <c r="A14">
        <v>9</v>
      </c>
      <c r="B14" t="s">
        <v>1047</v>
      </c>
      <c r="C14">
        <v>4</v>
      </c>
      <c r="D14" t="s">
        <v>1054</v>
      </c>
      <c r="E14">
        <v>2</v>
      </c>
      <c r="F14" t="s">
        <v>1100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1100</v>
      </c>
    </row>
    <row r="15" spans="1:12" x14ac:dyDescent="0.2">
      <c r="A15">
        <v>10</v>
      </c>
      <c r="B15" t="s">
        <v>840</v>
      </c>
      <c r="C15">
        <v>5</v>
      </c>
      <c r="D15" t="s">
        <v>825</v>
      </c>
      <c r="E15">
        <v>1</v>
      </c>
      <c r="F15" t="s">
        <v>838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838</v>
      </c>
    </row>
    <row r="16" spans="1:12" x14ac:dyDescent="0.2">
      <c r="A16">
        <v>10</v>
      </c>
      <c r="B16" t="s">
        <v>840</v>
      </c>
      <c r="C16">
        <v>5</v>
      </c>
      <c r="D16" t="s">
        <v>825</v>
      </c>
      <c r="E16">
        <v>2</v>
      </c>
      <c r="F16" t="s">
        <v>839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839</v>
      </c>
    </row>
    <row r="17" spans="1:12" x14ac:dyDescent="0.2">
      <c r="A17">
        <v>13</v>
      </c>
      <c r="B17" t="s">
        <v>1163</v>
      </c>
      <c r="C17">
        <v>6</v>
      </c>
      <c r="D17" t="s">
        <v>1169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1224</v>
      </c>
    </row>
    <row r="18" spans="1:12" x14ac:dyDescent="0.2">
      <c r="A18">
        <v>13</v>
      </c>
      <c r="B18" t="s">
        <v>1163</v>
      </c>
      <c r="C18">
        <v>7</v>
      </c>
      <c r="D18" t="s">
        <v>1167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1224</v>
      </c>
    </row>
    <row r="19" spans="1:12" x14ac:dyDescent="0.2">
      <c r="A19">
        <v>13</v>
      </c>
      <c r="B19" t="s">
        <v>1163</v>
      </c>
      <c r="C19">
        <v>8</v>
      </c>
      <c r="D19" t="s">
        <v>1165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1224</v>
      </c>
    </row>
    <row r="20" spans="1:12" x14ac:dyDescent="0.2">
      <c r="A20">
        <v>13</v>
      </c>
      <c r="B20" t="s">
        <v>1163</v>
      </c>
      <c r="C20">
        <v>9</v>
      </c>
      <c r="D20" t="s">
        <v>1164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1224</v>
      </c>
    </row>
    <row r="21" spans="1:12" x14ac:dyDescent="0.2">
      <c r="A21">
        <v>13</v>
      </c>
      <c r="B21" t="s">
        <v>1163</v>
      </c>
      <c r="C21">
        <v>10</v>
      </c>
      <c r="D21" t="s">
        <v>1172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1224</v>
      </c>
    </row>
    <row r="22" spans="1:12" x14ac:dyDescent="0.2">
      <c r="A22">
        <v>1</v>
      </c>
      <c r="B22" t="s">
        <v>713</v>
      </c>
      <c r="C22">
        <v>11</v>
      </c>
      <c r="D22" t="s">
        <v>729</v>
      </c>
      <c r="E22">
        <v>1</v>
      </c>
      <c r="F22" t="s">
        <v>808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808</v>
      </c>
    </row>
    <row r="23" spans="1:12" x14ac:dyDescent="0.2">
      <c r="A23">
        <v>1</v>
      </c>
      <c r="B23" t="s">
        <v>713</v>
      </c>
      <c r="C23">
        <v>11</v>
      </c>
      <c r="D23" t="s">
        <v>729</v>
      </c>
      <c r="E23">
        <v>2</v>
      </c>
      <c r="F23" t="s">
        <v>809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809</v>
      </c>
    </row>
    <row r="24" spans="1:12" x14ac:dyDescent="0.2">
      <c r="A24">
        <v>1</v>
      </c>
      <c r="B24" t="s">
        <v>713</v>
      </c>
      <c r="C24">
        <v>11</v>
      </c>
      <c r="D24" t="s">
        <v>729</v>
      </c>
      <c r="E24">
        <v>3</v>
      </c>
      <c r="F24" t="s">
        <v>810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810</v>
      </c>
    </row>
    <row r="25" spans="1:12" x14ac:dyDescent="0.2">
      <c r="A25">
        <v>1</v>
      </c>
      <c r="B25" t="s">
        <v>713</v>
      </c>
      <c r="C25">
        <v>11</v>
      </c>
      <c r="D25" t="s">
        <v>729</v>
      </c>
      <c r="E25">
        <v>4</v>
      </c>
      <c r="F25" t="s">
        <v>811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811</v>
      </c>
    </row>
    <row r="26" spans="1:12" x14ac:dyDescent="0.2">
      <c r="A26">
        <v>7</v>
      </c>
      <c r="B26" t="s">
        <v>1138</v>
      </c>
      <c r="C26">
        <v>12</v>
      </c>
      <c r="D26" t="s">
        <v>1128</v>
      </c>
      <c r="E26">
        <v>1</v>
      </c>
      <c r="F26" t="s">
        <v>1147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1147</v>
      </c>
    </row>
    <row r="27" spans="1:12" x14ac:dyDescent="0.2">
      <c r="A27">
        <v>7</v>
      </c>
      <c r="B27" t="s">
        <v>1138</v>
      </c>
      <c r="C27">
        <v>12</v>
      </c>
      <c r="D27" t="s">
        <v>1128</v>
      </c>
      <c r="E27">
        <v>2</v>
      </c>
      <c r="F27" t="s">
        <v>1148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1148</v>
      </c>
    </row>
    <row r="28" spans="1:12" x14ac:dyDescent="0.2">
      <c r="A28">
        <v>7</v>
      </c>
      <c r="B28" t="s">
        <v>1138</v>
      </c>
      <c r="C28">
        <v>13</v>
      </c>
      <c r="D28" t="s">
        <v>1137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1224</v>
      </c>
    </row>
    <row r="29" spans="1:12" x14ac:dyDescent="0.2">
      <c r="A29">
        <v>7</v>
      </c>
      <c r="B29" t="s">
        <v>1138</v>
      </c>
      <c r="C29">
        <v>14</v>
      </c>
      <c r="D29" t="s">
        <v>1120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1224</v>
      </c>
    </row>
    <row r="30" spans="1:12" x14ac:dyDescent="0.2">
      <c r="A30">
        <v>7</v>
      </c>
      <c r="B30" t="s">
        <v>1138</v>
      </c>
      <c r="C30">
        <v>15</v>
      </c>
      <c r="D30" t="s">
        <v>1125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1224</v>
      </c>
    </row>
    <row r="31" spans="1:12" x14ac:dyDescent="0.2">
      <c r="A31">
        <v>7</v>
      </c>
      <c r="B31" t="s">
        <v>1138</v>
      </c>
      <c r="C31">
        <v>16</v>
      </c>
      <c r="D31" t="s">
        <v>1119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1224</v>
      </c>
    </row>
    <row r="32" spans="1:12" x14ac:dyDescent="0.2">
      <c r="A32">
        <v>13</v>
      </c>
      <c r="B32" t="s">
        <v>1163</v>
      </c>
      <c r="C32">
        <v>17</v>
      </c>
      <c r="D32" t="s">
        <v>1171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1224</v>
      </c>
    </row>
    <row r="33" spans="1:12" x14ac:dyDescent="0.2">
      <c r="A33">
        <v>12</v>
      </c>
      <c r="B33" t="s">
        <v>972</v>
      </c>
      <c r="C33">
        <v>18</v>
      </c>
      <c r="D33" t="s">
        <v>964</v>
      </c>
      <c r="E33">
        <v>1</v>
      </c>
      <c r="F33" t="s">
        <v>997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997</v>
      </c>
    </row>
    <row r="34" spans="1:12" x14ac:dyDescent="0.2">
      <c r="A34">
        <v>12</v>
      </c>
      <c r="B34" t="s">
        <v>972</v>
      </c>
      <c r="C34">
        <v>18</v>
      </c>
      <c r="D34" t="s">
        <v>964</v>
      </c>
      <c r="E34">
        <v>2</v>
      </c>
      <c r="F34" t="s">
        <v>998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998</v>
      </c>
    </row>
    <row r="35" spans="1:12" x14ac:dyDescent="0.2">
      <c r="A35">
        <v>1</v>
      </c>
      <c r="B35" t="s">
        <v>713</v>
      </c>
      <c r="C35">
        <v>19</v>
      </c>
      <c r="D35" t="s">
        <v>725</v>
      </c>
      <c r="E35">
        <v>1</v>
      </c>
      <c r="F35" t="s">
        <v>795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795</v>
      </c>
    </row>
    <row r="36" spans="1:12" x14ac:dyDescent="0.2">
      <c r="A36">
        <v>1</v>
      </c>
      <c r="B36" t="s">
        <v>713</v>
      </c>
      <c r="C36">
        <v>19</v>
      </c>
      <c r="D36" t="s">
        <v>725</v>
      </c>
      <c r="E36">
        <v>2</v>
      </c>
      <c r="F36" t="s">
        <v>796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796</v>
      </c>
    </row>
    <row r="37" spans="1:12" x14ac:dyDescent="0.2">
      <c r="A37">
        <v>1</v>
      </c>
      <c r="B37" t="s">
        <v>713</v>
      </c>
      <c r="C37">
        <v>19</v>
      </c>
      <c r="D37" t="s">
        <v>725</v>
      </c>
      <c r="E37">
        <v>3</v>
      </c>
      <c r="F37" t="s">
        <v>797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797</v>
      </c>
    </row>
    <row r="38" spans="1:12" x14ac:dyDescent="0.2">
      <c r="A38">
        <v>1</v>
      </c>
      <c r="B38" t="s">
        <v>713</v>
      </c>
      <c r="C38">
        <v>19</v>
      </c>
      <c r="D38" t="s">
        <v>725</v>
      </c>
      <c r="E38">
        <v>4</v>
      </c>
      <c r="F38" t="s">
        <v>798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798</v>
      </c>
    </row>
    <row r="39" spans="1:12" x14ac:dyDescent="0.2">
      <c r="A39">
        <v>3</v>
      </c>
      <c r="B39" t="s">
        <v>1008</v>
      </c>
      <c r="C39">
        <v>20</v>
      </c>
      <c r="D39" t="s">
        <v>1012</v>
      </c>
      <c r="E39">
        <v>1</v>
      </c>
      <c r="F39" t="s">
        <v>1037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1037</v>
      </c>
    </row>
    <row r="40" spans="1:12" x14ac:dyDescent="0.2">
      <c r="A40">
        <v>3</v>
      </c>
      <c r="B40" t="s">
        <v>1008</v>
      </c>
      <c r="C40">
        <v>20</v>
      </c>
      <c r="D40" t="s">
        <v>1012</v>
      </c>
      <c r="E40">
        <v>2</v>
      </c>
      <c r="F40" t="s">
        <v>1038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1038</v>
      </c>
    </row>
    <row r="41" spans="1:12" x14ac:dyDescent="0.2">
      <c r="A41">
        <v>3</v>
      </c>
      <c r="B41" t="s">
        <v>1008</v>
      </c>
      <c r="C41">
        <v>20</v>
      </c>
      <c r="D41" t="s">
        <v>1012</v>
      </c>
      <c r="E41">
        <v>3</v>
      </c>
      <c r="F41" t="s">
        <v>1039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1039</v>
      </c>
    </row>
    <row r="42" spans="1:12" x14ac:dyDescent="0.2">
      <c r="A42">
        <v>3</v>
      </c>
      <c r="B42" t="s">
        <v>1008</v>
      </c>
      <c r="C42">
        <v>20</v>
      </c>
      <c r="D42" t="s">
        <v>1012</v>
      </c>
      <c r="E42">
        <v>4</v>
      </c>
      <c r="F42" t="s">
        <v>1040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1040</v>
      </c>
    </row>
    <row r="43" spans="1:12" x14ac:dyDescent="0.2">
      <c r="A43">
        <v>3</v>
      </c>
      <c r="B43" t="s">
        <v>1008</v>
      </c>
      <c r="C43">
        <v>20</v>
      </c>
      <c r="D43" t="s">
        <v>1012</v>
      </c>
      <c r="E43">
        <v>5</v>
      </c>
      <c r="F43" t="s">
        <v>1041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1041</v>
      </c>
    </row>
    <row r="44" spans="1:12" x14ac:dyDescent="0.2">
      <c r="A44">
        <v>3</v>
      </c>
      <c r="B44" t="s">
        <v>1008</v>
      </c>
      <c r="C44">
        <v>20</v>
      </c>
      <c r="D44" t="s">
        <v>1012</v>
      </c>
      <c r="E44">
        <v>6</v>
      </c>
      <c r="F44" t="s">
        <v>1042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1042</v>
      </c>
    </row>
    <row r="45" spans="1:12" x14ac:dyDescent="0.2">
      <c r="A45">
        <v>7</v>
      </c>
      <c r="B45" t="s">
        <v>1138</v>
      </c>
      <c r="C45">
        <v>21</v>
      </c>
      <c r="D45" t="s">
        <v>1116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1224</v>
      </c>
    </row>
    <row r="46" spans="1:12" x14ac:dyDescent="0.2">
      <c r="A46">
        <v>1</v>
      </c>
      <c r="B46" t="s">
        <v>713</v>
      </c>
      <c r="C46">
        <v>22</v>
      </c>
      <c r="D46" t="s">
        <v>726</v>
      </c>
      <c r="E46">
        <v>1</v>
      </c>
      <c r="F46" t="s">
        <v>799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799</v>
      </c>
    </row>
    <row r="47" spans="1:12" x14ac:dyDescent="0.2">
      <c r="A47">
        <v>1</v>
      </c>
      <c r="B47" t="s">
        <v>713</v>
      </c>
      <c r="C47">
        <v>22</v>
      </c>
      <c r="D47" t="s">
        <v>726</v>
      </c>
      <c r="E47">
        <v>2</v>
      </c>
      <c r="F47" t="s">
        <v>800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800</v>
      </c>
    </row>
    <row r="48" spans="1:12" x14ac:dyDescent="0.2">
      <c r="A48">
        <v>1</v>
      </c>
      <c r="B48" t="s">
        <v>713</v>
      </c>
      <c r="C48">
        <v>22</v>
      </c>
      <c r="D48" t="s">
        <v>726</v>
      </c>
      <c r="E48">
        <v>3</v>
      </c>
      <c r="F48" t="s">
        <v>801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801</v>
      </c>
    </row>
    <row r="49" spans="1:12" x14ac:dyDescent="0.2">
      <c r="A49">
        <v>1</v>
      </c>
      <c r="B49" t="s">
        <v>713</v>
      </c>
      <c r="C49">
        <v>22</v>
      </c>
      <c r="D49" t="s">
        <v>726</v>
      </c>
      <c r="E49">
        <v>4</v>
      </c>
      <c r="F49" t="s">
        <v>802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802</v>
      </c>
    </row>
    <row r="50" spans="1:12" x14ac:dyDescent="0.2">
      <c r="A50">
        <v>7</v>
      </c>
      <c r="B50" t="s">
        <v>1138</v>
      </c>
      <c r="C50">
        <v>23</v>
      </c>
      <c r="D50" t="s">
        <v>1131</v>
      </c>
      <c r="E50">
        <v>1</v>
      </c>
      <c r="F50" t="s">
        <v>1153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1153</v>
      </c>
    </row>
    <row r="51" spans="1:12" x14ac:dyDescent="0.2">
      <c r="A51">
        <v>7</v>
      </c>
      <c r="B51" t="s">
        <v>1138</v>
      </c>
      <c r="C51">
        <v>23</v>
      </c>
      <c r="D51" t="s">
        <v>1131</v>
      </c>
      <c r="E51">
        <v>2</v>
      </c>
      <c r="F51" t="s">
        <v>1154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1154</v>
      </c>
    </row>
    <row r="52" spans="1:12" x14ac:dyDescent="0.2">
      <c r="A52">
        <v>7</v>
      </c>
      <c r="B52" t="s">
        <v>1138</v>
      </c>
      <c r="C52">
        <v>23</v>
      </c>
      <c r="D52" t="s">
        <v>1131</v>
      </c>
      <c r="E52">
        <v>3</v>
      </c>
      <c r="F52" t="s">
        <v>1155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1155</v>
      </c>
    </row>
    <row r="53" spans="1:12" x14ac:dyDescent="0.2">
      <c r="A53">
        <v>7</v>
      </c>
      <c r="B53" t="s">
        <v>1138</v>
      </c>
      <c r="C53">
        <v>24</v>
      </c>
      <c r="D53" t="s">
        <v>1118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1224</v>
      </c>
    </row>
    <row r="54" spans="1:12" x14ac:dyDescent="0.2">
      <c r="A54">
        <v>10</v>
      </c>
      <c r="B54" t="s">
        <v>840</v>
      </c>
      <c r="C54">
        <v>25</v>
      </c>
      <c r="D54" t="s">
        <v>823</v>
      </c>
      <c r="E54">
        <v>1</v>
      </c>
      <c r="F54" t="s">
        <v>834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834</v>
      </c>
    </row>
    <row r="55" spans="1:12" x14ac:dyDescent="0.2">
      <c r="A55">
        <v>10</v>
      </c>
      <c r="B55" t="s">
        <v>840</v>
      </c>
      <c r="C55">
        <v>25</v>
      </c>
      <c r="D55" t="s">
        <v>823</v>
      </c>
      <c r="E55">
        <v>2</v>
      </c>
      <c r="F55" t="s">
        <v>835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835</v>
      </c>
    </row>
    <row r="56" spans="1:12" x14ac:dyDescent="0.2">
      <c r="A56">
        <v>1</v>
      </c>
      <c r="B56" t="s">
        <v>713</v>
      </c>
      <c r="C56">
        <v>26</v>
      </c>
      <c r="D56" t="s">
        <v>721</v>
      </c>
      <c r="E56">
        <v>1</v>
      </c>
      <c r="F56" t="s">
        <v>775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775</v>
      </c>
    </row>
    <row r="57" spans="1:12" x14ac:dyDescent="0.2">
      <c r="A57">
        <v>1</v>
      </c>
      <c r="B57" t="s">
        <v>713</v>
      </c>
      <c r="C57">
        <v>26</v>
      </c>
      <c r="D57" t="s">
        <v>721</v>
      </c>
      <c r="E57">
        <v>2</v>
      </c>
      <c r="F57" t="s">
        <v>776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776</v>
      </c>
    </row>
    <row r="58" spans="1:12" x14ac:dyDescent="0.2">
      <c r="A58">
        <v>1</v>
      </c>
      <c r="B58" t="s">
        <v>713</v>
      </c>
      <c r="C58">
        <v>26</v>
      </c>
      <c r="D58" t="s">
        <v>721</v>
      </c>
      <c r="E58">
        <v>3</v>
      </c>
      <c r="F58" t="s">
        <v>777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777</v>
      </c>
    </row>
    <row r="59" spans="1:12" x14ac:dyDescent="0.2">
      <c r="A59">
        <v>1</v>
      </c>
      <c r="B59" t="s">
        <v>713</v>
      </c>
      <c r="C59">
        <v>26</v>
      </c>
      <c r="D59" t="s">
        <v>721</v>
      </c>
      <c r="E59">
        <v>4</v>
      </c>
      <c r="F59" t="s">
        <v>778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778</v>
      </c>
    </row>
    <row r="60" spans="1:12" x14ac:dyDescent="0.2">
      <c r="A60">
        <v>1</v>
      </c>
      <c r="B60" t="s">
        <v>713</v>
      </c>
      <c r="C60">
        <v>26</v>
      </c>
      <c r="D60" t="s">
        <v>721</v>
      </c>
      <c r="E60">
        <v>5</v>
      </c>
      <c r="F60" t="s">
        <v>779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779</v>
      </c>
    </row>
    <row r="61" spans="1:12" x14ac:dyDescent="0.2">
      <c r="A61">
        <v>1</v>
      </c>
      <c r="B61" t="s">
        <v>713</v>
      </c>
      <c r="C61">
        <v>26</v>
      </c>
      <c r="D61" t="s">
        <v>721</v>
      </c>
      <c r="E61">
        <v>6</v>
      </c>
      <c r="F61" t="s">
        <v>780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780</v>
      </c>
    </row>
    <row r="62" spans="1:12" x14ac:dyDescent="0.2">
      <c r="A62">
        <v>7</v>
      </c>
      <c r="B62" t="s">
        <v>1138</v>
      </c>
      <c r="C62">
        <v>27</v>
      </c>
      <c r="D62" t="s">
        <v>1114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1224</v>
      </c>
    </row>
    <row r="63" spans="1:12" x14ac:dyDescent="0.2">
      <c r="A63">
        <v>6</v>
      </c>
      <c r="B63" t="s">
        <v>926</v>
      </c>
      <c r="C63">
        <v>28</v>
      </c>
      <c r="D63" t="s">
        <v>925</v>
      </c>
      <c r="E63">
        <v>1</v>
      </c>
      <c r="F63" t="s">
        <v>927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927</v>
      </c>
    </row>
    <row r="64" spans="1:12" x14ac:dyDescent="0.2">
      <c r="A64">
        <v>6</v>
      </c>
      <c r="B64" t="s">
        <v>926</v>
      </c>
      <c r="C64">
        <v>28</v>
      </c>
      <c r="D64" t="s">
        <v>925</v>
      </c>
      <c r="E64">
        <v>2</v>
      </c>
      <c r="F64" t="s">
        <v>928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928</v>
      </c>
    </row>
    <row r="65" spans="1:12" x14ac:dyDescent="0.2">
      <c r="A65">
        <v>6</v>
      </c>
      <c r="B65" t="s">
        <v>926</v>
      </c>
      <c r="C65">
        <v>28</v>
      </c>
      <c r="D65" t="s">
        <v>925</v>
      </c>
      <c r="E65">
        <v>3</v>
      </c>
      <c r="F65" t="s">
        <v>929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929</v>
      </c>
    </row>
    <row r="66" spans="1:12" x14ac:dyDescent="0.2">
      <c r="A66">
        <v>6</v>
      </c>
      <c r="B66" t="s">
        <v>926</v>
      </c>
      <c r="C66">
        <v>28</v>
      </c>
      <c r="D66" t="s">
        <v>925</v>
      </c>
      <c r="E66">
        <v>4</v>
      </c>
      <c r="F66" t="s">
        <v>930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930</v>
      </c>
    </row>
    <row r="67" spans="1:12" x14ac:dyDescent="0.2">
      <c r="A67">
        <v>6</v>
      </c>
      <c r="B67" t="s">
        <v>926</v>
      </c>
      <c r="C67">
        <v>28</v>
      </c>
      <c r="D67" t="s">
        <v>925</v>
      </c>
      <c r="E67">
        <v>5</v>
      </c>
      <c r="F67" t="s">
        <v>931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931</v>
      </c>
    </row>
    <row r="68" spans="1:12" x14ac:dyDescent="0.2">
      <c r="A68">
        <v>6</v>
      </c>
      <c r="B68" t="s">
        <v>926</v>
      </c>
      <c r="C68">
        <v>28</v>
      </c>
      <c r="D68" t="s">
        <v>925</v>
      </c>
      <c r="E68">
        <v>6</v>
      </c>
      <c r="F68" t="s">
        <v>932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932</v>
      </c>
    </row>
    <row r="69" spans="1:12" x14ac:dyDescent="0.2">
      <c r="A69">
        <v>6</v>
      </c>
      <c r="B69" t="s">
        <v>926</v>
      </c>
      <c r="C69">
        <v>28</v>
      </c>
      <c r="D69" t="s">
        <v>925</v>
      </c>
      <c r="E69">
        <v>7</v>
      </c>
      <c r="F69" t="s">
        <v>933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933</v>
      </c>
    </row>
    <row r="70" spans="1:12" x14ac:dyDescent="0.2">
      <c r="A70">
        <v>4</v>
      </c>
      <c r="B70" t="s">
        <v>953</v>
      </c>
      <c r="C70">
        <v>29</v>
      </c>
      <c r="D70" t="s">
        <v>952</v>
      </c>
      <c r="E70">
        <v>1</v>
      </c>
      <c r="F70" t="s">
        <v>959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959</v>
      </c>
    </row>
    <row r="71" spans="1:12" x14ac:dyDescent="0.2">
      <c r="A71">
        <v>1</v>
      </c>
      <c r="B71" t="s">
        <v>713</v>
      </c>
      <c r="C71">
        <v>30</v>
      </c>
      <c r="D71" t="s">
        <v>718</v>
      </c>
      <c r="E71">
        <v>1</v>
      </c>
      <c r="F71" t="s">
        <v>760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760</v>
      </c>
    </row>
    <row r="72" spans="1:12" x14ac:dyDescent="0.2">
      <c r="A72">
        <v>1</v>
      </c>
      <c r="B72" t="s">
        <v>713</v>
      </c>
      <c r="C72">
        <v>30</v>
      </c>
      <c r="D72" t="s">
        <v>718</v>
      </c>
      <c r="E72">
        <v>2</v>
      </c>
      <c r="F72" t="s">
        <v>761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761</v>
      </c>
    </row>
    <row r="73" spans="1:12" x14ac:dyDescent="0.2">
      <c r="A73">
        <v>1</v>
      </c>
      <c r="B73" t="s">
        <v>713</v>
      </c>
      <c r="C73">
        <v>30</v>
      </c>
      <c r="D73" t="s">
        <v>718</v>
      </c>
      <c r="E73">
        <v>3</v>
      </c>
      <c r="F73" t="s">
        <v>762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762</v>
      </c>
    </row>
    <row r="74" spans="1:12" x14ac:dyDescent="0.2">
      <c r="A74">
        <v>1</v>
      </c>
      <c r="B74" t="s">
        <v>713</v>
      </c>
      <c r="C74">
        <v>30</v>
      </c>
      <c r="D74" t="s">
        <v>718</v>
      </c>
      <c r="E74">
        <v>4</v>
      </c>
      <c r="F74" t="s">
        <v>763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763</v>
      </c>
    </row>
    <row r="75" spans="1:12" x14ac:dyDescent="0.2">
      <c r="A75">
        <v>5</v>
      </c>
      <c r="B75" t="s">
        <v>841</v>
      </c>
      <c r="C75">
        <v>31</v>
      </c>
      <c r="D75" t="s">
        <v>844</v>
      </c>
      <c r="E75">
        <v>1</v>
      </c>
      <c r="F75" t="s">
        <v>859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859</v>
      </c>
    </row>
    <row r="76" spans="1:12" x14ac:dyDescent="0.2">
      <c r="A76">
        <v>7</v>
      </c>
      <c r="B76" t="s">
        <v>1138</v>
      </c>
      <c r="C76">
        <v>32</v>
      </c>
      <c r="D76" t="s">
        <v>1122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1224</v>
      </c>
    </row>
    <row r="77" spans="1:12" x14ac:dyDescent="0.2">
      <c r="A77">
        <v>12</v>
      </c>
      <c r="B77" t="s">
        <v>972</v>
      </c>
      <c r="C77">
        <v>33</v>
      </c>
      <c r="D77" t="s">
        <v>971</v>
      </c>
      <c r="E77">
        <v>1</v>
      </c>
      <c r="F77" t="s">
        <v>1007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1007</v>
      </c>
    </row>
    <row r="78" spans="1:12" x14ac:dyDescent="0.2">
      <c r="A78">
        <v>2</v>
      </c>
      <c r="B78" t="s">
        <v>868</v>
      </c>
      <c r="C78">
        <v>34</v>
      </c>
      <c r="D78" t="s">
        <v>862</v>
      </c>
      <c r="E78">
        <v>1</v>
      </c>
      <c r="F78" t="s">
        <v>869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869</v>
      </c>
    </row>
    <row r="79" spans="1:12" x14ac:dyDescent="0.2">
      <c r="A79">
        <v>2</v>
      </c>
      <c r="B79" t="s">
        <v>868</v>
      </c>
      <c r="C79">
        <v>34</v>
      </c>
      <c r="D79" t="s">
        <v>862</v>
      </c>
      <c r="E79">
        <v>2</v>
      </c>
      <c r="F79" t="s">
        <v>870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870</v>
      </c>
    </row>
    <row r="80" spans="1:12" x14ac:dyDescent="0.2">
      <c r="A80">
        <v>2</v>
      </c>
      <c r="B80" t="s">
        <v>868</v>
      </c>
      <c r="C80">
        <v>34</v>
      </c>
      <c r="D80" t="s">
        <v>862</v>
      </c>
      <c r="E80">
        <v>3</v>
      </c>
      <c r="F80" t="s">
        <v>871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871</v>
      </c>
    </row>
    <row r="81" spans="1:12" x14ac:dyDescent="0.2">
      <c r="A81">
        <v>2</v>
      </c>
      <c r="B81" t="s">
        <v>868</v>
      </c>
      <c r="C81">
        <v>34</v>
      </c>
      <c r="D81" t="s">
        <v>862</v>
      </c>
      <c r="E81">
        <v>4</v>
      </c>
      <c r="F81" t="s">
        <v>872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872</v>
      </c>
    </row>
    <row r="82" spans="1:12" x14ac:dyDescent="0.2">
      <c r="A82">
        <v>2</v>
      </c>
      <c r="B82" t="s">
        <v>868</v>
      </c>
      <c r="C82">
        <v>34</v>
      </c>
      <c r="D82" t="s">
        <v>862</v>
      </c>
      <c r="E82">
        <v>5</v>
      </c>
      <c r="F82" t="s">
        <v>873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873</v>
      </c>
    </row>
    <row r="83" spans="1:12" x14ac:dyDescent="0.2">
      <c r="A83">
        <v>3</v>
      </c>
      <c r="B83" t="s">
        <v>1008</v>
      </c>
      <c r="C83">
        <v>35</v>
      </c>
      <c r="D83" t="s">
        <v>1009</v>
      </c>
      <c r="E83">
        <v>1</v>
      </c>
      <c r="F83" t="s">
        <v>1015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1015</v>
      </c>
    </row>
    <row r="84" spans="1:12" x14ac:dyDescent="0.2">
      <c r="A84">
        <v>3</v>
      </c>
      <c r="B84" t="s">
        <v>1008</v>
      </c>
      <c r="C84">
        <v>35</v>
      </c>
      <c r="D84" t="s">
        <v>1009</v>
      </c>
      <c r="E84">
        <v>2</v>
      </c>
      <c r="F84" t="s">
        <v>1016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1016</v>
      </c>
    </row>
    <row r="85" spans="1:12" x14ac:dyDescent="0.2">
      <c r="A85">
        <v>3</v>
      </c>
      <c r="B85" t="s">
        <v>1008</v>
      </c>
      <c r="C85">
        <v>35</v>
      </c>
      <c r="D85" t="s">
        <v>1009</v>
      </c>
      <c r="E85">
        <v>3</v>
      </c>
      <c r="F85" t="s">
        <v>1017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1017</v>
      </c>
    </row>
    <row r="86" spans="1:12" x14ac:dyDescent="0.2">
      <c r="A86">
        <v>3</v>
      </c>
      <c r="B86" t="s">
        <v>1008</v>
      </c>
      <c r="C86">
        <v>35</v>
      </c>
      <c r="D86" t="s">
        <v>1009</v>
      </c>
      <c r="E86">
        <v>4</v>
      </c>
      <c r="F86" t="s">
        <v>1018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1018</v>
      </c>
    </row>
    <row r="87" spans="1:12" x14ac:dyDescent="0.2">
      <c r="A87">
        <v>3</v>
      </c>
      <c r="B87" t="s">
        <v>1008</v>
      </c>
      <c r="C87">
        <v>35</v>
      </c>
      <c r="D87" t="s">
        <v>1009</v>
      </c>
      <c r="E87">
        <v>5</v>
      </c>
      <c r="F87" t="s">
        <v>1019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1019</v>
      </c>
    </row>
    <row r="88" spans="1:12" x14ac:dyDescent="0.2">
      <c r="A88">
        <v>3</v>
      </c>
      <c r="B88" t="s">
        <v>1008</v>
      </c>
      <c r="C88">
        <v>35</v>
      </c>
      <c r="D88" t="s">
        <v>1009</v>
      </c>
      <c r="E88">
        <v>6</v>
      </c>
      <c r="F88" t="s">
        <v>1020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1020</v>
      </c>
    </row>
    <row r="89" spans="1:12" x14ac:dyDescent="0.2">
      <c r="A89">
        <v>3</v>
      </c>
      <c r="B89" t="s">
        <v>1008</v>
      </c>
      <c r="C89">
        <v>35</v>
      </c>
      <c r="D89" t="s">
        <v>1009</v>
      </c>
      <c r="E89">
        <v>7</v>
      </c>
      <c r="F89" t="s">
        <v>1021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1021</v>
      </c>
    </row>
    <row r="90" spans="1:12" x14ac:dyDescent="0.2">
      <c r="A90">
        <v>3</v>
      </c>
      <c r="B90" t="s">
        <v>1008</v>
      </c>
      <c r="C90">
        <v>35</v>
      </c>
      <c r="D90" t="s">
        <v>1009</v>
      </c>
      <c r="E90">
        <v>8</v>
      </c>
      <c r="F90" t="s">
        <v>1022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1022</v>
      </c>
    </row>
    <row r="91" spans="1:12" x14ac:dyDescent="0.2">
      <c r="A91">
        <v>3</v>
      </c>
      <c r="B91" t="s">
        <v>1008</v>
      </c>
      <c r="C91">
        <v>35</v>
      </c>
      <c r="D91" t="s">
        <v>1009</v>
      </c>
      <c r="E91">
        <v>9</v>
      </c>
      <c r="F91" t="s">
        <v>1023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1023</v>
      </c>
    </row>
    <row r="92" spans="1:12" x14ac:dyDescent="0.2">
      <c r="A92">
        <v>14</v>
      </c>
      <c r="B92" t="s">
        <v>881</v>
      </c>
      <c r="C92">
        <v>36</v>
      </c>
      <c r="D92" t="s">
        <v>880</v>
      </c>
      <c r="E92">
        <v>1</v>
      </c>
      <c r="F92" t="s">
        <v>896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896</v>
      </c>
    </row>
    <row r="93" spans="1:12" x14ac:dyDescent="0.2">
      <c r="A93">
        <v>14</v>
      </c>
      <c r="B93" t="s">
        <v>881</v>
      </c>
      <c r="C93">
        <v>36</v>
      </c>
      <c r="D93" t="s">
        <v>880</v>
      </c>
      <c r="E93">
        <v>2</v>
      </c>
      <c r="F93" t="s">
        <v>897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897</v>
      </c>
    </row>
    <row r="94" spans="1:12" x14ac:dyDescent="0.2">
      <c r="A94">
        <v>5</v>
      </c>
      <c r="B94" t="s">
        <v>841</v>
      </c>
      <c r="C94">
        <v>37</v>
      </c>
      <c r="D94" t="s">
        <v>845</v>
      </c>
      <c r="E94">
        <v>1</v>
      </c>
      <c r="F94" t="s">
        <v>845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845</v>
      </c>
    </row>
    <row r="95" spans="1:12" x14ac:dyDescent="0.2">
      <c r="A95">
        <v>9</v>
      </c>
      <c r="B95" t="s">
        <v>1047</v>
      </c>
      <c r="C95">
        <v>38</v>
      </c>
      <c r="D95" t="s">
        <v>1050</v>
      </c>
      <c r="E95">
        <v>1</v>
      </c>
      <c r="F95" t="s">
        <v>921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921</v>
      </c>
    </row>
    <row r="96" spans="1:12" x14ac:dyDescent="0.2">
      <c r="A96">
        <v>9</v>
      </c>
      <c r="B96" t="s">
        <v>1047</v>
      </c>
      <c r="C96">
        <v>38</v>
      </c>
      <c r="D96" t="s">
        <v>1050</v>
      </c>
      <c r="E96">
        <v>2</v>
      </c>
      <c r="F96" t="s">
        <v>1078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1078</v>
      </c>
    </row>
    <row r="97" spans="1:12" x14ac:dyDescent="0.2">
      <c r="A97">
        <v>9</v>
      </c>
      <c r="B97" t="s">
        <v>1047</v>
      </c>
      <c r="C97">
        <v>38</v>
      </c>
      <c r="D97" t="s">
        <v>1050</v>
      </c>
      <c r="E97">
        <v>3</v>
      </c>
      <c r="F97" t="s">
        <v>1079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1079</v>
      </c>
    </row>
    <row r="98" spans="1:12" x14ac:dyDescent="0.2">
      <c r="A98">
        <v>9</v>
      </c>
      <c r="B98" t="s">
        <v>1047</v>
      </c>
      <c r="C98">
        <v>38</v>
      </c>
      <c r="D98" t="s">
        <v>1050</v>
      </c>
      <c r="E98">
        <v>4</v>
      </c>
      <c r="F98" t="s">
        <v>1080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1080</v>
      </c>
    </row>
    <row r="99" spans="1:12" x14ac:dyDescent="0.2">
      <c r="A99">
        <v>9</v>
      </c>
      <c r="B99" t="s">
        <v>1047</v>
      </c>
      <c r="C99">
        <v>38</v>
      </c>
      <c r="D99" t="s">
        <v>1050</v>
      </c>
      <c r="E99">
        <v>5</v>
      </c>
      <c r="F99" t="s">
        <v>1081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1081</v>
      </c>
    </row>
    <row r="100" spans="1:12" x14ac:dyDescent="0.2">
      <c r="A100">
        <v>9</v>
      </c>
      <c r="B100" t="s">
        <v>1047</v>
      </c>
      <c r="C100">
        <v>38</v>
      </c>
      <c r="D100" t="s">
        <v>1050</v>
      </c>
      <c r="E100">
        <v>6</v>
      </c>
      <c r="F100" t="s">
        <v>1082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1082</v>
      </c>
    </row>
    <row r="101" spans="1:12" x14ac:dyDescent="0.2">
      <c r="A101">
        <v>9</v>
      </c>
      <c r="B101" t="s">
        <v>1047</v>
      </c>
      <c r="C101">
        <v>38</v>
      </c>
      <c r="D101" t="s">
        <v>1050</v>
      </c>
      <c r="E101">
        <v>7</v>
      </c>
      <c r="F101" t="s">
        <v>1083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1083</v>
      </c>
    </row>
    <row r="102" spans="1:12" x14ac:dyDescent="0.2">
      <c r="A102">
        <v>9</v>
      </c>
      <c r="B102" t="s">
        <v>1047</v>
      </c>
      <c r="C102">
        <v>38</v>
      </c>
      <c r="D102" t="s">
        <v>1050</v>
      </c>
      <c r="E102">
        <v>8</v>
      </c>
      <c r="F102" t="s">
        <v>1084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1084</v>
      </c>
    </row>
    <row r="103" spans="1:12" x14ac:dyDescent="0.2">
      <c r="A103">
        <v>9</v>
      </c>
      <c r="B103" t="s">
        <v>1047</v>
      </c>
      <c r="C103">
        <v>38</v>
      </c>
      <c r="D103" t="s">
        <v>1050</v>
      </c>
      <c r="E103">
        <v>9</v>
      </c>
      <c r="F103" t="s">
        <v>1085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1085</v>
      </c>
    </row>
    <row r="104" spans="1:12" x14ac:dyDescent="0.2">
      <c r="A104">
        <v>9</v>
      </c>
      <c r="B104" t="s">
        <v>1047</v>
      </c>
      <c r="C104">
        <v>38</v>
      </c>
      <c r="D104" t="s">
        <v>1050</v>
      </c>
      <c r="E104">
        <v>10</v>
      </c>
      <c r="F104" t="s">
        <v>1086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1086</v>
      </c>
    </row>
    <row r="105" spans="1:12" x14ac:dyDescent="0.2">
      <c r="A105">
        <v>11</v>
      </c>
      <c r="B105" t="s">
        <v>903</v>
      </c>
      <c r="C105">
        <v>39</v>
      </c>
      <c r="D105" t="s">
        <v>901</v>
      </c>
      <c r="E105">
        <v>1</v>
      </c>
      <c r="F105" t="s">
        <v>920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920</v>
      </c>
    </row>
    <row r="106" spans="1:12" x14ac:dyDescent="0.2">
      <c r="A106">
        <v>9</v>
      </c>
      <c r="B106" t="s">
        <v>1047</v>
      </c>
      <c r="C106">
        <v>40</v>
      </c>
      <c r="D106" t="s">
        <v>1052</v>
      </c>
      <c r="E106">
        <v>6</v>
      </c>
      <c r="F106" t="s">
        <v>1092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1092</v>
      </c>
    </row>
    <row r="107" spans="1:12" x14ac:dyDescent="0.2">
      <c r="A107">
        <v>9</v>
      </c>
      <c r="B107" t="s">
        <v>1047</v>
      </c>
      <c r="C107">
        <v>40</v>
      </c>
      <c r="D107" t="s">
        <v>1052</v>
      </c>
      <c r="E107">
        <v>7</v>
      </c>
      <c r="F107" t="s">
        <v>1093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1093</v>
      </c>
    </row>
    <row r="108" spans="1:12" x14ac:dyDescent="0.2">
      <c r="A108">
        <v>9</v>
      </c>
      <c r="B108" t="s">
        <v>1047</v>
      </c>
      <c r="C108">
        <v>40</v>
      </c>
      <c r="D108" t="s">
        <v>1052</v>
      </c>
      <c r="E108">
        <v>8</v>
      </c>
      <c r="F108" t="s">
        <v>1094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1094</v>
      </c>
    </row>
    <row r="109" spans="1:12" x14ac:dyDescent="0.2">
      <c r="A109">
        <v>9</v>
      </c>
      <c r="B109" t="s">
        <v>1047</v>
      </c>
      <c r="C109">
        <v>40</v>
      </c>
      <c r="D109" t="s">
        <v>1052</v>
      </c>
      <c r="E109">
        <v>9</v>
      </c>
      <c r="F109" t="s">
        <v>1095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1095</v>
      </c>
    </row>
    <row r="110" spans="1:12" x14ac:dyDescent="0.2">
      <c r="A110">
        <v>9</v>
      </c>
      <c r="B110" t="s">
        <v>1047</v>
      </c>
      <c r="C110">
        <v>40</v>
      </c>
      <c r="D110" t="s">
        <v>1052</v>
      </c>
      <c r="E110">
        <v>10</v>
      </c>
      <c r="F110" t="s">
        <v>1096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1096</v>
      </c>
    </row>
    <row r="111" spans="1:12" x14ac:dyDescent="0.2">
      <c r="A111">
        <v>7</v>
      </c>
      <c r="B111" t="s">
        <v>1138</v>
      </c>
      <c r="C111">
        <v>41</v>
      </c>
      <c r="D111" t="s">
        <v>1136</v>
      </c>
      <c r="E111">
        <v>1</v>
      </c>
      <c r="F111" t="s">
        <v>1161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1161</v>
      </c>
    </row>
    <row r="112" spans="1:12" x14ac:dyDescent="0.2">
      <c r="A112">
        <v>7</v>
      </c>
      <c r="B112" t="s">
        <v>1138</v>
      </c>
      <c r="C112">
        <v>41</v>
      </c>
      <c r="D112" t="s">
        <v>1136</v>
      </c>
      <c r="E112">
        <v>2</v>
      </c>
      <c r="F112" t="s">
        <v>1162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1162</v>
      </c>
    </row>
    <row r="113" spans="1:12" x14ac:dyDescent="0.2">
      <c r="A113">
        <v>9</v>
      </c>
      <c r="B113" t="s">
        <v>1047</v>
      </c>
      <c r="C113">
        <v>42</v>
      </c>
      <c r="D113" t="s">
        <v>1048</v>
      </c>
      <c r="E113">
        <v>1</v>
      </c>
      <c r="F113" t="s">
        <v>1059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1059</v>
      </c>
    </row>
    <row r="114" spans="1:12" x14ac:dyDescent="0.2">
      <c r="A114">
        <v>9</v>
      </c>
      <c r="B114" t="s">
        <v>1047</v>
      </c>
      <c r="C114">
        <v>42</v>
      </c>
      <c r="D114" t="s">
        <v>1048</v>
      </c>
      <c r="E114">
        <v>2</v>
      </c>
      <c r="F114" t="s">
        <v>1060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1060</v>
      </c>
    </row>
    <row r="115" spans="1:12" x14ac:dyDescent="0.2">
      <c r="A115">
        <v>9</v>
      </c>
      <c r="B115" t="s">
        <v>1047</v>
      </c>
      <c r="C115">
        <v>42</v>
      </c>
      <c r="D115" t="s">
        <v>1048</v>
      </c>
      <c r="E115">
        <v>3</v>
      </c>
      <c r="F115" t="s">
        <v>1061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1061</v>
      </c>
    </row>
    <row r="116" spans="1:12" x14ac:dyDescent="0.2">
      <c r="A116">
        <v>9</v>
      </c>
      <c r="B116" t="s">
        <v>1047</v>
      </c>
      <c r="C116">
        <v>42</v>
      </c>
      <c r="D116" t="s">
        <v>1048</v>
      </c>
      <c r="E116">
        <v>4</v>
      </c>
      <c r="F116" t="s">
        <v>1062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1062</v>
      </c>
    </row>
    <row r="117" spans="1:12" x14ac:dyDescent="0.2">
      <c r="A117">
        <v>9</v>
      </c>
      <c r="B117" t="s">
        <v>1047</v>
      </c>
      <c r="C117">
        <v>42</v>
      </c>
      <c r="D117" t="s">
        <v>1048</v>
      </c>
      <c r="E117">
        <v>5</v>
      </c>
      <c r="F117" t="s">
        <v>1063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1063</v>
      </c>
    </row>
    <row r="118" spans="1:12" x14ac:dyDescent="0.2">
      <c r="A118">
        <v>9</v>
      </c>
      <c r="B118" t="s">
        <v>1047</v>
      </c>
      <c r="C118">
        <v>42</v>
      </c>
      <c r="D118" t="s">
        <v>1048</v>
      </c>
      <c r="E118">
        <v>6</v>
      </c>
      <c r="F118" t="s">
        <v>1064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1064</v>
      </c>
    </row>
    <row r="119" spans="1:12" x14ac:dyDescent="0.2">
      <c r="A119">
        <v>9</v>
      </c>
      <c r="B119" t="s">
        <v>1047</v>
      </c>
      <c r="C119">
        <v>42</v>
      </c>
      <c r="D119" t="s">
        <v>1048</v>
      </c>
      <c r="E119">
        <v>7</v>
      </c>
      <c r="F119" t="s">
        <v>1065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1065</v>
      </c>
    </row>
    <row r="120" spans="1:12" x14ac:dyDescent="0.2">
      <c r="A120">
        <v>9</v>
      </c>
      <c r="B120" t="s">
        <v>1047</v>
      </c>
      <c r="C120">
        <v>42</v>
      </c>
      <c r="D120" t="s">
        <v>1048</v>
      </c>
      <c r="E120">
        <v>8</v>
      </c>
      <c r="F120" t="s">
        <v>1066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1066</v>
      </c>
    </row>
    <row r="121" spans="1:12" x14ac:dyDescent="0.2">
      <c r="A121">
        <v>9</v>
      </c>
      <c r="B121" t="s">
        <v>1047</v>
      </c>
      <c r="C121">
        <v>42</v>
      </c>
      <c r="D121" t="s">
        <v>1048</v>
      </c>
      <c r="E121">
        <v>9</v>
      </c>
      <c r="F121" t="s">
        <v>1067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1067</v>
      </c>
    </row>
    <row r="122" spans="1:12" x14ac:dyDescent="0.2">
      <c r="A122">
        <v>9</v>
      </c>
      <c r="B122" t="s">
        <v>1047</v>
      </c>
      <c r="C122">
        <v>42</v>
      </c>
      <c r="D122" t="s">
        <v>1048</v>
      </c>
      <c r="E122">
        <v>10</v>
      </c>
      <c r="F122" t="s">
        <v>1068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1068</v>
      </c>
    </row>
    <row r="123" spans="1:12" x14ac:dyDescent="0.2">
      <c r="A123">
        <v>9</v>
      </c>
      <c r="B123" t="s">
        <v>1047</v>
      </c>
      <c r="C123">
        <v>43</v>
      </c>
      <c r="D123" t="s">
        <v>1051</v>
      </c>
      <c r="E123">
        <v>1</v>
      </c>
      <c r="F123" t="s">
        <v>1087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1087</v>
      </c>
    </row>
    <row r="124" spans="1:12" x14ac:dyDescent="0.2">
      <c r="A124">
        <v>9</v>
      </c>
      <c r="B124" t="s">
        <v>1047</v>
      </c>
      <c r="C124">
        <v>43</v>
      </c>
      <c r="D124" t="s">
        <v>1051</v>
      </c>
      <c r="E124">
        <v>2</v>
      </c>
      <c r="F124" t="s">
        <v>1088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1088</v>
      </c>
    </row>
    <row r="125" spans="1:12" x14ac:dyDescent="0.2">
      <c r="A125">
        <v>9</v>
      </c>
      <c r="B125" t="s">
        <v>1047</v>
      </c>
      <c r="C125">
        <v>43</v>
      </c>
      <c r="D125" t="s">
        <v>1051</v>
      </c>
      <c r="E125">
        <v>3</v>
      </c>
      <c r="F125" t="s">
        <v>1089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1089</v>
      </c>
    </row>
    <row r="126" spans="1:12" x14ac:dyDescent="0.2">
      <c r="A126">
        <v>9</v>
      </c>
      <c r="B126" t="s">
        <v>1047</v>
      </c>
      <c r="C126">
        <v>43</v>
      </c>
      <c r="D126" t="s">
        <v>1051</v>
      </c>
      <c r="E126">
        <v>4</v>
      </c>
      <c r="F126" t="s">
        <v>1090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1090</v>
      </c>
    </row>
    <row r="127" spans="1:12" x14ac:dyDescent="0.2">
      <c r="A127">
        <v>9</v>
      </c>
      <c r="B127" t="s">
        <v>1047</v>
      </c>
      <c r="C127">
        <v>43</v>
      </c>
      <c r="D127" t="s">
        <v>1051</v>
      </c>
      <c r="E127">
        <v>5</v>
      </c>
      <c r="F127" t="s">
        <v>1091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1091</v>
      </c>
    </row>
    <row r="128" spans="1:12" x14ac:dyDescent="0.2">
      <c r="A128">
        <v>9</v>
      </c>
      <c r="B128" t="s">
        <v>1047</v>
      </c>
      <c r="C128">
        <v>44</v>
      </c>
      <c r="D128" t="s">
        <v>1053</v>
      </c>
      <c r="E128">
        <v>1</v>
      </c>
      <c r="F128" t="s">
        <v>1097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1097</v>
      </c>
    </row>
    <row r="129" spans="1:12" x14ac:dyDescent="0.2">
      <c r="A129">
        <v>9</v>
      </c>
      <c r="B129" t="s">
        <v>1047</v>
      </c>
      <c r="C129">
        <v>44</v>
      </c>
      <c r="D129" t="s">
        <v>1053</v>
      </c>
      <c r="E129">
        <v>2</v>
      </c>
      <c r="F129" t="s">
        <v>1098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1098</v>
      </c>
    </row>
    <row r="130" spans="1:12" x14ac:dyDescent="0.2">
      <c r="A130">
        <v>9</v>
      </c>
      <c r="B130" t="s">
        <v>1047</v>
      </c>
      <c r="C130">
        <v>45</v>
      </c>
      <c r="D130" t="s">
        <v>1057</v>
      </c>
      <c r="E130">
        <v>1</v>
      </c>
      <c r="F130" t="s">
        <v>1107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1107</v>
      </c>
    </row>
    <row r="131" spans="1:12" x14ac:dyDescent="0.2">
      <c r="A131">
        <v>7</v>
      </c>
      <c r="B131" t="s">
        <v>1138</v>
      </c>
      <c r="C131">
        <v>46</v>
      </c>
      <c r="D131" t="s">
        <v>1123</v>
      </c>
      <c r="E131">
        <v>1</v>
      </c>
      <c r="F131" t="s">
        <v>1139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1139</v>
      </c>
    </row>
    <row r="132" spans="1:12" x14ac:dyDescent="0.2">
      <c r="A132">
        <v>7</v>
      </c>
      <c r="B132" t="s">
        <v>1138</v>
      </c>
      <c r="C132">
        <v>46</v>
      </c>
      <c r="D132" t="s">
        <v>1123</v>
      </c>
      <c r="E132">
        <v>2</v>
      </c>
      <c r="F132" t="s">
        <v>1140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1140</v>
      </c>
    </row>
    <row r="133" spans="1:12" x14ac:dyDescent="0.2">
      <c r="A133">
        <v>7</v>
      </c>
      <c r="B133" t="s">
        <v>1138</v>
      </c>
      <c r="C133">
        <v>46</v>
      </c>
      <c r="D133" t="s">
        <v>1123</v>
      </c>
      <c r="E133">
        <v>3</v>
      </c>
      <c r="F133" t="s">
        <v>1141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1141</v>
      </c>
    </row>
    <row r="134" spans="1:12" x14ac:dyDescent="0.2">
      <c r="A134">
        <v>7</v>
      </c>
      <c r="B134" t="s">
        <v>1138</v>
      </c>
      <c r="C134">
        <v>46</v>
      </c>
      <c r="D134" t="s">
        <v>1123</v>
      </c>
      <c r="E134">
        <v>4</v>
      </c>
      <c r="F134" t="s">
        <v>1142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1142</v>
      </c>
    </row>
    <row r="135" spans="1:12" x14ac:dyDescent="0.2">
      <c r="A135">
        <v>3</v>
      </c>
      <c r="B135" t="s">
        <v>1008</v>
      </c>
      <c r="C135">
        <v>47</v>
      </c>
      <c r="D135" t="s">
        <v>1013</v>
      </c>
      <c r="E135">
        <v>1</v>
      </c>
      <c r="F135" t="s">
        <v>1043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1043</v>
      </c>
    </row>
    <row r="136" spans="1:12" x14ac:dyDescent="0.2">
      <c r="A136">
        <v>3</v>
      </c>
      <c r="B136" t="s">
        <v>1008</v>
      </c>
      <c r="C136">
        <v>47</v>
      </c>
      <c r="D136" t="s">
        <v>1013</v>
      </c>
      <c r="E136">
        <v>2</v>
      </c>
      <c r="F136" t="s">
        <v>1044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1045</v>
      </c>
    </row>
    <row r="137" spans="1:12" x14ac:dyDescent="0.2">
      <c r="A137">
        <v>3</v>
      </c>
      <c r="B137" t="s">
        <v>1008</v>
      </c>
      <c r="C137">
        <v>47</v>
      </c>
      <c r="D137" t="s">
        <v>1013</v>
      </c>
      <c r="E137">
        <v>2</v>
      </c>
      <c r="F137" t="s">
        <v>1045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1044</v>
      </c>
    </row>
    <row r="138" spans="1:12" x14ac:dyDescent="0.2">
      <c r="A138">
        <v>7</v>
      </c>
      <c r="B138" t="s">
        <v>1138</v>
      </c>
      <c r="C138">
        <v>48</v>
      </c>
      <c r="D138" t="s">
        <v>1109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1224</v>
      </c>
    </row>
    <row r="139" spans="1:12" x14ac:dyDescent="0.2">
      <c r="A139">
        <v>12</v>
      </c>
      <c r="B139" t="s">
        <v>972</v>
      </c>
      <c r="C139">
        <v>49</v>
      </c>
      <c r="D139" t="s">
        <v>961</v>
      </c>
      <c r="E139">
        <v>1</v>
      </c>
      <c r="F139" t="s">
        <v>983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983</v>
      </c>
    </row>
    <row r="140" spans="1:12" x14ac:dyDescent="0.2">
      <c r="A140">
        <v>12</v>
      </c>
      <c r="B140" t="s">
        <v>972</v>
      </c>
      <c r="C140">
        <v>49</v>
      </c>
      <c r="D140" t="s">
        <v>961</v>
      </c>
      <c r="E140">
        <v>2</v>
      </c>
      <c r="F140" t="s">
        <v>984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984</v>
      </c>
    </row>
    <row r="141" spans="1:12" x14ac:dyDescent="0.2">
      <c r="A141">
        <v>12</v>
      </c>
      <c r="B141" t="s">
        <v>972</v>
      </c>
      <c r="C141">
        <v>49</v>
      </c>
      <c r="D141" t="s">
        <v>961</v>
      </c>
      <c r="E141">
        <v>3</v>
      </c>
      <c r="F141" t="s">
        <v>985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985</v>
      </c>
    </row>
    <row r="142" spans="1:12" x14ac:dyDescent="0.2">
      <c r="A142">
        <v>12</v>
      </c>
      <c r="B142" t="s">
        <v>972</v>
      </c>
      <c r="C142">
        <v>49</v>
      </c>
      <c r="D142" t="s">
        <v>961</v>
      </c>
      <c r="E142">
        <v>4</v>
      </c>
      <c r="F142" t="s">
        <v>986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986</v>
      </c>
    </row>
    <row r="143" spans="1:12" x14ac:dyDescent="0.2">
      <c r="A143">
        <v>12</v>
      </c>
      <c r="B143" t="s">
        <v>972</v>
      </c>
      <c r="C143">
        <v>49</v>
      </c>
      <c r="D143" t="s">
        <v>961</v>
      </c>
      <c r="E143">
        <v>5</v>
      </c>
      <c r="F143" t="s">
        <v>987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987</v>
      </c>
    </row>
    <row r="144" spans="1:12" x14ac:dyDescent="0.2">
      <c r="A144">
        <v>12</v>
      </c>
      <c r="B144" t="s">
        <v>972</v>
      </c>
      <c r="C144">
        <v>49</v>
      </c>
      <c r="D144" t="s">
        <v>961</v>
      </c>
      <c r="E144">
        <v>6</v>
      </c>
      <c r="F144" t="s">
        <v>988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988</v>
      </c>
    </row>
    <row r="145" spans="1:12" x14ac:dyDescent="0.2">
      <c r="A145">
        <v>12</v>
      </c>
      <c r="B145" t="s">
        <v>972</v>
      </c>
      <c r="C145">
        <v>49</v>
      </c>
      <c r="D145" t="s">
        <v>961</v>
      </c>
      <c r="E145">
        <v>7</v>
      </c>
      <c r="F145" t="s">
        <v>989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989</v>
      </c>
    </row>
    <row r="146" spans="1:12" x14ac:dyDescent="0.2">
      <c r="A146">
        <v>12</v>
      </c>
      <c r="B146" t="s">
        <v>972</v>
      </c>
      <c r="C146">
        <v>50</v>
      </c>
      <c r="D146" t="s">
        <v>962</v>
      </c>
      <c r="E146">
        <v>1</v>
      </c>
      <c r="F146" t="s">
        <v>990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990</v>
      </c>
    </row>
    <row r="147" spans="1:12" x14ac:dyDescent="0.2">
      <c r="A147">
        <v>12</v>
      </c>
      <c r="B147" t="s">
        <v>972</v>
      </c>
      <c r="C147">
        <v>50</v>
      </c>
      <c r="D147" t="s">
        <v>962</v>
      </c>
      <c r="E147">
        <v>2</v>
      </c>
      <c r="F147" t="s">
        <v>991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991</v>
      </c>
    </row>
    <row r="148" spans="1:12" x14ac:dyDescent="0.2">
      <c r="A148">
        <v>7</v>
      </c>
      <c r="B148" t="s">
        <v>1138</v>
      </c>
      <c r="C148">
        <v>51</v>
      </c>
      <c r="D148" t="s">
        <v>1135</v>
      </c>
      <c r="E148">
        <v>1</v>
      </c>
      <c r="F148" t="s">
        <v>1160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1160</v>
      </c>
    </row>
    <row r="149" spans="1:12" x14ac:dyDescent="0.2">
      <c r="A149">
        <v>7</v>
      </c>
      <c r="B149" t="s">
        <v>1138</v>
      </c>
      <c r="C149">
        <v>52</v>
      </c>
      <c r="D149" t="s">
        <v>1121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1224</v>
      </c>
    </row>
    <row r="150" spans="1:12" x14ac:dyDescent="0.2">
      <c r="A150">
        <v>5</v>
      </c>
      <c r="B150" t="s">
        <v>841</v>
      </c>
      <c r="C150">
        <v>53</v>
      </c>
      <c r="D150" t="s">
        <v>846</v>
      </c>
      <c r="E150">
        <v>1</v>
      </c>
      <c r="F150" t="s">
        <v>860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860</v>
      </c>
    </row>
    <row r="151" spans="1:12" x14ac:dyDescent="0.2">
      <c r="A151">
        <v>7</v>
      </c>
      <c r="B151" t="s">
        <v>1138</v>
      </c>
      <c r="C151">
        <v>54</v>
      </c>
      <c r="D151" t="s">
        <v>1112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1224</v>
      </c>
    </row>
    <row r="152" spans="1:12" x14ac:dyDescent="0.2">
      <c r="A152">
        <v>1</v>
      </c>
      <c r="B152" t="s">
        <v>713</v>
      </c>
      <c r="C152">
        <v>55</v>
      </c>
      <c r="D152" t="s">
        <v>715</v>
      </c>
      <c r="E152">
        <v>1</v>
      </c>
      <c r="F152" t="s">
        <v>742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742</v>
      </c>
    </row>
    <row r="153" spans="1:12" x14ac:dyDescent="0.2">
      <c r="A153">
        <v>1</v>
      </c>
      <c r="B153" t="s">
        <v>713</v>
      </c>
      <c r="C153">
        <v>55</v>
      </c>
      <c r="D153" t="s">
        <v>715</v>
      </c>
      <c r="E153">
        <v>2</v>
      </c>
      <c r="F153" t="s">
        <v>743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743</v>
      </c>
    </row>
    <row r="154" spans="1:12" x14ac:dyDescent="0.2">
      <c r="A154">
        <v>1</v>
      </c>
      <c r="B154" t="s">
        <v>713</v>
      </c>
      <c r="C154">
        <v>55</v>
      </c>
      <c r="D154" t="s">
        <v>715</v>
      </c>
      <c r="E154">
        <v>3</v>
      </c>
      <c r="F154" t="s">
        <v>744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744</v>
      </c>
    </row>
    <row r="155" spans="1:12" x14ac:dyDescent="0.2">
      <c r="A155">
        <v>1</v>
      </c>
      <c r="B155" t="s">
        <v>713</v>
      </c>
      <c r="C155">
        <v>55</v>
      </c>
      <c r="D155" t="s">
        <v>715</v>
      </c>
      <c r="E155">
        <v>4</v>
      </c>
      <c r="F155" t="s">
        <v>745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745</v>
      </c>
    </row>
    <row r="156" spans="1:12" x14ac:dyDescent="0.2">
      <c r="A156">
        <v>1</v>
      </c>
      <c r="B156" t="s">
        <v>713</v>
      </c>
      <c r="C156">
        <v>55</v>
      </c>
      <c r="D156" t="s">
        <v>715</v>
      </c>
      <c r="E156">
        <v>5</v>
      </c>
      <c r="F156" t="s">
        <v>746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746</v>
      </c>
    </row>
    <row r="157" spans="1:12" x14ac:dyDescent="0.2">
      <c r="A157">
        <v>1</v>
      </c>
      <c r="B157" t="s">
        <v>713</v>
      </c>
      <c r="C157">
        <v>55</v>
      </c>
      <c r="D157" t="s">
        <v>715</v>
      </c>
      <c r="E157">
        <v>6</v>
      </c>
      <c r="F157" t="s">
        <v>747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747</v>
      </c>
    </row>
    <row r="158" spans="1:12" x14ac:dyDescent="0.2">
      <c r="A158">
        <v>7</v>
      </c>
      <c r="B158" t="s">
        <v>1138</v>
      </c>
      <c r="C158">
        <v>56</v>
      </c>
      <c r="D158" t="s">
        <v>1133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1224</v>
      </c>
    </row>
    <row r="159" spans="1:12" x14ac:dyDescent="0.2">
      <c r="A159">
        <v>10</v>
      </c>
      <c r="B159" t="s">
        <v>840</v>
      </c>
      <c r="C159">
        <v>57</v>
      </c>
      <c r="D159" t="s">
        <v>824</v>
      </c>
      <c r="E159">
        <v>1</v>
      </c>
      <c r="F159" t="s">
        <v>836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836</v>
      </c>
    </row>
    <row r="160" spans="1:12" x14ac:dyDescent="0.2">
      <c r="A160">
        <v>10</v>
      </c>
      <c r="B160" t="s">
        <v>840</v>
      </c>
      <c r="C160">
        <v>57</v>
      </c>
      <c r="D160" t="s">
        <v>824</v>
      </c>
      <c r="E160">
        <v>2</v>
      </c>
      <c r="F160" t="s">
        <v>837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837</v>
      </c>
    </row>
    <row r="161" spans="1:12" x14ac:dyDescent="0.2">
      <c r="A161">
        <v>1</v>
      </c>
      <c r="B161" t="s">
        <v>713</v>
      </c>
      <c r="C161">
        <v>58</v>
      </c>
      <c r="D161" t="s">
        <v>716</v>
      </c>
      <c r="E161">
        <v>1</v>
      </c>
      <c r="F161" t="s">
        <v>748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748</v>
      </c>
    </row>
    <row r="162" spans="1:12" x14ac:dyDescent="0.2">
      <c r="A162">
        <v>1</v>
      </c>
      <c r="B162" t="s">
        <v>713</v>
      </c>
      <c r="C162">
        <v>58</v>
      </c>
      <c r="D162" t="s">
        <v>716</v>
      </c>
      <c r="E162">
        <v>2</v>
      </c>
      <c r="F162" t="s">
        <v>749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749</v>
      </c>
    </row>
    <row r="163" spans="1:12" x14ac:dyDescent="0.2">
      <c r="A163">
        <v>1</v>
      </c>
      <c r="B163" t="s">
        <v>713</v>
      </c>
      <c r="C163">
        <v>58</v>
      </c>
      <c r="D163" t="s">
        <v>716</v>
      </c>
      <c r="E163">
        <v>3</v>
      </c>
      <c r="F163" t="s">
        <v>750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750</v>
      </c>
    </row>
    <row r="164" spans="1:12" x14ac:dyDescent="0.2">
      <c r="A164">
        <v>1</v>
      </c>
      <c r="B164" t="s">
        <v>713</v>
      </c>
      <c r="C164">
        <v>58</v>
      </c>
      <c r="D164" t="s">
        <v>716</v>
      </c>
      <c r="E164">
        <v>4</v>
      </c>
      <c r="F164" t="s">
        <v>751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751</v>
      </c>
    </row>
    <row r="165" spans="1:12" x14ac:dyDescent="0.2">
      <c r="A165">
        <v>1</v>
      </c>
      <c r="B165" t="s">
        <v>713</v>
      </c>
      <c r="C165">
        <v>58</v>
      </c>
      <c r="D165" t="s">
        <v>716</v>
      </c>
      <c r="E165">
        <v>5</v>
      </c>
      <c r="F165" t="s">
        <v>752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752</v>
      </c>
    </row>
    <row r="166" spans="1:12" x14ac:dyDescent="0.2">
      <c r="A166">
        <v>1</v>
      </c>
      <c r="B166" t="s">
        <v>713</v>
      </c>
      <c r="C166">
        <v>58</v>
      </c>
      <c r="D166" t="s">
        <v>716</v>
      </c>
      <c r="E166">
        <v>6</v>
      </c>
      <c r="F166" t="s">
        <v>753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753</v>
      </c>
    </row>
    <row r="167" spans="1:12" x14ac:dyDescent="0.2">
      <c r="A167">
        <v>1</v>
      </c>
      <c r="B167" t="s">
        <v>713</v>
      </c>
      <c r="C167">
        <v>58</v>
      </c>
      <c r="D167" t="s">
        <v>716</v>
      </c>
      <c r="E167">
        <v>7</v>
      </c>
      <c r="F167" t="s">
        <v>754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754</v>
      </c>
    </row>
    <row r="168" spans="1:12" x14ac:dyDescent="0.2">
      <c r="A168">
        <v>1</v>
      </c>
      <c r="B168" t="s">
        <v>713</v>
      </c>
      <c r="C168">
        <v>59</v>
      </c>
      <c r="D168" t="s">
        <v>722</v>
      </c>
      <c r="E168">
        <v>1</v>
      </c>
      <c r="F168" t="s">
        <v>781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781</v>
      </c>
    </row>
    <row r="169" spans="1:12" x14ac:dyDescent="0.2">
      <c r="A169">
        <v>1</v>
      </c>
      <c r="B169" t="s">
        <v>713</v>
      </c>
      <c r="C169">
        <v>59</v>
      </c>
      <c r="D169" t="s">
        <v>722</v>
      </c>
      <c r="E169">
        <v>2</v>
      </c>
      <c r="F169" t="s">
        <v>782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782</v>
      </c>
    </row>
    <row r="170" spans="1:12" x14ac:dyDescent="0.2">
      <c r="A170">
        <v>1</v>
      </c>
      <c r="B170" t="s">
        <v>713</v>
      </c>
      <c r="C170">
        <v>59</v>
      </c>
      <c r="D170" t="s">
        <v>722</v>
      </c>
      <c r="E170">
        <v>3</v>
      </c>
      <c r="F170" t="s">
        <v>783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783</v>
      </c>
    </row>
    <row r="171" spans="1:12" x14ac:dyDescent="0.2">
      <c r="A171">
        <v>1</v>
      </c>
      <c r="B171" t="s">
        <v>713</v>
      </c>
      <c r="C171">
        <v>59</v>
      </c>
      <c r="D171" t="s">
        <v>722</v>
      </c>
      <c r="E171">
        <v>4</v>
      </c>
      <c r="F171" t="s">
        <v>784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784</v>
      </c>
    </row>
    <row r="172" spans="1:12" x14ac:dyDescent="0.2">
      <c r="A172">
        <v>1</v>
      </c>
      <c r="B172" t="s">
        <v>713</v>
      </c>
      <c r="C172">
        <v>60</v>
      </c>
      <c r="D172" t="s">
        <v>728</v>
      </c>
      <c r="E172">
        <v>1</v>
      </c>
      <c r="F172" t="s">
        <v>781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781</v>
      </c>
    </row>
    <row r="173" spans="1:12" x14ac:dyDescent="0.2">
      <c r="A173">
        <v>1</v>
      </c>
      <c r="B173" t="s">
        <v>713</v>
      </c>
      <c r="C173">
        <v>60</v>
      </c>
      <c r="D173" t="s">
        <v>728</v>
      </c>
      <c r="E173">
        <v>2</v>
      </c>
      <c r="F173" t="s">
        <v>782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782</v>
      </c>
    </row>
    <row r="174" spans="1:12" x14ac:dyDescent="0.2">
      <c r="A174">
        <v>1</v>
      </c>
      <c r="B174" t="s">
        <v>713</v>
      </c>
      <c r="C174">
        <v>60</v>
      </c>
      <c r="D174" t="s">
        <v>728</v>
      </c>
      <c r="E174">
        <v>3</v>
      </c>
      <c r="F174" t="s">
        <v>783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783</v>
      </c>
    </row>
    <row r="175" spans="1:12" x14ac:dyDescent="0.2">
      <c r="A175">
        <v>1</v>
      </c>
      <c r="B175" t="s">
        <v>713</v>
      </c>
      <c r="C175">
        <v>60</v>
      </c>
      <c r="D175" t="s">
        <v>728</v>
      </c>
      <c r="E175">
        <v>4</v>
      </c>
      <c r="F175" t="s">
        <v>784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784</v>
      </c>
    </row>
    <row r="176" spans="1:12" x14ac:dyDescent="0.2">
      <c r="A176">
        <v>7</v>
      </c>
      <c r="B176" t="s">
        <v>1138</v>
      </c>
      <c r="C176">
        <v>61</v>
      </c>
      <c r="D176" t="s">
        <v>1132</v>
      </c>
      <c r="E176">
        <v>1</v>
      </c>
      <c r="F176" t="s">
        <v>1156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1156</v>
      </c>
    </row>
    <row r="177" spans="1:12" x14ac:dyDescent="0.2">
      <c r="A177">
        <v>7</v>
      </c>
      <c r="B177" t="s">
        <v>1138</v>
      </c>
      <c r="C177">
        <v>61</v>
      </c>
      <c r="D177" t="s">
        <v>1132</v>
      </c>
      <c r="E177">
        <v>2</v>
      </c>
      <c r="F177" t="s">
        <v>1157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1157</v>
      </c>
    </row>
    <row r="178" spans="1:12" x14ac:dyDescent="0.2">
      <c r="A178">
        <v>7</v>
      </c>
      <c r="B178" t="s">
        <v>1138</v>
      </c>
      <c r="C178">
        <v>61</v>
      </c>
      <c r="D178" t="s">
        <v>1132</v>
      </c>
      <c r="E178">
        <v>3</v>
      </c>
      <c r="F178" t="s">
        <v>1158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1158</v>
      </c>
    </row>
    <row r="179" spans="1:12" x14ac:dyDescent="0.2">
      <c r="A179">
        <v>8</v>
      </c>
      <c r="B179" t="s">
        <v>934</v>
      </c>
      <c r="C179">
        <v>62</v>
      </c>
      <c r="D179" t="s">
        <v>935</v>
      </c>
      <c r="E179">
        <v>1</v>
      </c>
      <c r="F179" t="s">
        <v>936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936</v>
      </c>
    </row>
    <row r="180" spans="1:12" x14ac:dyDescent="0.2">
      <c r="A180">
        <v>8</v>
      </c>
      <c r="B180" t="s">
        <v>934</v>
      </c>
      <c r="C180">
        <v>62</v>
      </c>
      <c r="D180" t="s">
        <v>935</v>
      </c>
      <c r="E180">
        <v>2</v>
      </c>
      <c r="F180" t="s">
        <v>937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937</v>
      </c>
    </row>
    <row r="181" spans="1:12" x14ac:dyDescent="0.2">
      <c r="A181">
        <v>8</v>
      </c>
      <c r="B181" t="s">
        <v>934</v>
      </c>
      <c r="C181">
        <v>62</v>
      </c>
      <c r="D181" t="s">
        <v>935</v>
      </c>
      <c r="E181">
        <v>3</v>
      </c>
      <c r="F181" t="s">
        <v>938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938</v>
      </c>
    </row>
    <row r="182" spans="1:12" x14ac:dyDescent="0.2">
      <c r="A182">
        <v>8</v>
      </c>
      <c r="B182" t="s">
        <v>934</v>
      </c>
      <c r="C182">
        <v>62</v>
      </c>
      <c r="D182" t="s">
        <v>935</v>
      </c>
      <c r="E182">
        <v>4</v>
      </c>
      <c r="F182" t="s">
        <v>939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939</v>
      </c>
    </row>
    <row r="183" spans="1:12" x14ac:dyDescent="0.2">
      <c r="A183">
        <v>8</v>
      </c>
      <c r="B183" t="s">
        <v>934</v>
      </c>
      <c r="C183">
        <v>62</v>
      </c>
      <c r="D183" t="s">
        <v>935</v>
      </c>
      <c r="E183">
        <v>5</v>
      </c>
      <c r="F183" t="s">
        <v>940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940</v>
      </c>
    </row>
    <row r="184" spans="1:12" x14ac:dyDescent="0.2">
      <c r="A184">
        <v>8</v>
      </c>
      <c r="B184" t="s">
        <v>934</v>
      </c>
      <c r="C184">
        <v>62</v>
      </c>
      <c r="D184" t="s">
        <v>935</v>
      </c>
      <c r="E184">
        <v>6</v>
      </c>
      <c r="F184" t="s">
        <v>941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941</v>
      </c>
    </row>
    <row r="185" spans="1:12" x14ac:dyDescent="0.2">
      <c r="A185">
        <v>2</v>
      </c>
      <c r="B185" t="s">
        <v>868</v>
      </c>
      <c r="C185">
        <v>63</v>
      </c>
      <c r="D185" t="s">
        <v>863</v>
      </c>
      <c r="E185">
        <v>1</v>
      </c>
      <c r="F185" t="s">
        <v>874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874</v>
      </c>
    </row>
    <row r="186" spans="1:12" x14ac:dyDescent="0.2">
      <c r="A186">
        <v>2</v>
      </c>
      <c r="B186" t="s">
        <v>868</v>
      </c>
      <c r="C186">
        <v>63</v>
      </c>
      <c r="D186" t="s">
        <v>863</v>
      </c>
      <c r="E186">
        <v>2</v>
      </c>
      <c r="F186" t="s">
        <v>875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875</v>
      </c>
    </row>
    <row r="187" spans="1:12" x14ac:dyDescent="0.2">
      <c r="A187">
        <v>1</v>
      </c>
      <c r="B187" t="s">
        <v>713</v>
      </c>
      <c r="C187">
        <v>64</v>
      </c>
      <c r="D187" t="s">
        <v>720</v>
      </c>
      <c r="E187">
        <v>1</v>
      </c>
      <c r="F187" t="s">
        <v>771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771</v>
      </c>
    </row>
    <row r="188" spans="1:12" x14ac:dyDescent="0.2">
      <c r="A188">
        <v>1</v>
      </c>
      <c r="B188" t="s">
        <v>713</v>
      </c>
      <c r="C188">
        <v>64</v>
      </c>
      <c r="D188" t="s">
        <v>720</v>
      </c>
      <c r="E188">
        <v>2</v>
      </c>
      <c r="F188" t="s">
        <v>772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772</v>
      </c>
    </row>
    <row r="189" spans="1:12" x14ac:dyDescent="0.2">
      <c r="A189">
        <v>1</v>
      </c>
      <c r="B189" t="s">
        <v>713</v>
      </c>
      <c r="C189">
        <v>64</v>
      </c>
      <c r="D189" t="s">
        <v>720</v>
      </c>
      <c r="E189">
        <v>3</v>
      </c>
      <c r="F189" t="s">
        <v>773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773</v>
      </c>
    </row>
    <row r="190" spans="1:12" x14ac:dyDescent="0.2">
      <c r="A190">
        <v>1</v>
      </c>
      <c r="B190" t="s">
        <v>713</v>
      </c>
      <c r="C190">
        <v>64</v>
      </c>
      <c r="D190" t="s">
        <v>720</v>
      </c>
      <c r="E190">
        <v>4</v>
      </c>
      <c r="F190" t="s">
        <v>774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774</v>
      </c>
    </row>
    <row r="191" spans="1:12" x14ac:dyDescent="0.2">
      <c r="A191">
        <v>10</v>
      </c>
      <c r="B191" t="s">
        <v>840</v>
      </c>
      <c r="C191">
        <v>65</v>
      </c>
      <c r="D191" t="s">
        <v>822</v>
      </c>
      <c r="E191">
        <v>1</v>
      </c>
      <c r="F191" t="s">
        <v>831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831</v>
      </c>
    </row>
    <row r="192" spans="1:12" x14ac:dyDescent="0.2">
      <c r="A192">
        <v>10</v>
      </c>
      <c r="B192" t="s">
        <v>840</v>
      </c>
      <c r="C192">
        <v>65</v>
      </c>
      <c r="D192" t="s">
        <v>822</v>
      </c>
      <c r="E192">
        <v>2</v>
      </c>
      <c r="F192" t="s">
        <v>832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832</v>
      </c>
    </row>
    <row r="193" spans="1:12" x14ac:dyDescent="0.2">
      <c r="A193">
        <v>10</v>
      </c>
      <c r="B193" t="s">
        <v>840</v>
      </c>
      <c r="C193">
        <v>65</v>
      </c>
      <c r="D193" t="s">
        <v>822</v>
      </c>
      <c r="E193">
        <v>3</v>
      </c>
      <c r="F193" t="s">
        <v>833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833</v>
      </c>
    </row>
    <row r="194" spans="1:12" x14ac:dyDescent="0.2">
      <c r="A194">
        <v>1</v>
      </c>
      <c r="B194" t="s">
        <v>713</v>
      </c>
      <c r="C194">
        <v>66</v>
      </c>
      <c r="D194" t="s">
        <v>723</v>
      </c>
      <c r="E194">
        <v>1</v>
      </c>
      <c r="F194" t="s">
        <v>785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785</v>
      </c>
    </row>
    <row r="195" spans="1:12" x14ac:dyDescent="0.2">
      <c r="A195">
        <v>1</v>
      </c>
      <c r="B195" t="s">
        <v>713</v>
      </c>
      <c r="C195">
        <v>66</v>
      </c>
      <c r="D195" t="s">
        <v>723</v>
      </c>
      <c r="E195">
        <v>2</v>
      </c>
      <c r="F195" t="s">
        <v>786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786</v>
      </c>
    </row>
    <row r="196" spans="1:12" x14ac:dyDescent="0.2">
      <c r="A196">
        <v>1</v>
      </c>
      <c r="B196" t="s">
        <v>713</v>
      </c>
      <c r="C196">
        <v>66</v>
      </c>
      <c r="D196" t="s">
        <v>723</v>
      </c>
      <c r="E196">
        <v>3</v>
      </c>
      <c r="F196" t="s">
        <v>787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787</v>
      </c>
    </row>
    <row r="197" spans="1:12" x14ac:dyDescent="0.2">
      <c r="A197">
        <v>1</v>
      </c>
      <c r="B197" t="s">
        <v>713</v>
      </c>
      <c r="C197">
        <v>66</v>
      </c>
      <c r="D197" t="s">
        <v>723</v>
      </c>
      <c r="E197">
        <v>4</v>
      </c>
      <c r="F197" t="s">
        <v>788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788</v>
      </c>
    </row>
    <row r="198" spans="1:12" x14ac:dyDescent="0.2">
      <c r="A198">
        <v>1</v>
      </c>
      <c r="B198" t="s">
        <v>713</v>
      </c>
      <c r="C198">
        <v>66</v>
      </c>
      <c r="D198" t="s">
        <v>723</v>
      </c>
      <c r="E198">
        <v>5</v>
      </c>
      <c r="F198" t="s">
        <v>789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789</v>
      </c>
    </row>
    <row r="199" spans="1:12" x14ac:dyDescent="0.2">
      <c r="A199">
        <v>1</v>
      </c>
      <c r="B199" t="s">
        <v>713</v>
      </c>
      <c r="C199">
        <v>66</v>
      </c>
      <c r="D199" t="s">
        <v>723</v>
      </c>
      <c r="E199">
        <v>6</v>
      </c>
      <c r="F199" t="s">
        <v>790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790</v>
      </c>
    </row>
    <row r="200" spans="1:12" x14ac:dyDescent="0.2">
      <c r="A200">
        <v>3</v>
      </c>
      <c r="B200" t="s">
        <v>1008</v>
      </c>
      <c r="C200">
        <v>67</v>
      </c>
      <c r="D200" t="s">
        <v>1011</v>
      </c>
      <c r="E200">
        <v>1</v>
      </c>
      <c r="F200" t="s">
        <v>1033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1033</v>
      </c>
    </row>
    <row r="201" spans="1:12" x14ac:dyDescent="0.2">
      <c r="A201">
        <v>3</v>
      </c>
      <c r="B201" t="s">
        <v>1008</v>
      </c>
      <c r="C201">
        <v>67</v>
      </c>
      <c r="D201" t="s">
        <v>1011</v>
      </c>
      <c r="E201">
        <v>2</v>
      </c>
      <c r="F201" t="s">
        <v>1034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1034</v>
      </c>
    </row>
    <row r="202" spans="1:12" x14ac:dyDescent="0.2">
      <c r="A202">
        <v>3</v>
      </c>
      <c r="B202" t="s">
        <v>1008</v>
      </c>
      <c r="C202">
        <v>67</v>
      </c>
      <c r="D202" t="s">
        <v>1011</v>
      </c>
      <c r="E202">
        <v>3</v>
      </c>
      <c r="F202" t="s">
        <v>1035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1035</v>
      </c>
    </row>
    <row r="203" spans="1:12" x14ac:dyDescent="0.2">
      <c r="A203">
        <v>3</v>
      </c>
      <c r="B203" t="s">
        <v>1008</v>
      </c>
      <c r="C203">
        <v>67</v>
      </c>
      <c r="D203" t="s">
        <v>1011</v>
      </c>
      <c r="E203">
        <v>4</v>
      </c>
      <c r="F203" t="s">
        <v>1036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1036</v>
      </c>
    </row>
    <row r="204" spans="1:12" x14ac:dyDescent="0.2">
      <c r="A204">
        <v>9</v>
      </c>
      <c r="B204" t="s">
        <v>1047</v>
      </c>
      <c r="C204">
        <v>68</v>
      </c>
      <c r="D204" t="s">
        <v>1049</v>
      </c>
      <c r="E204">
        <v>1</v>
      </c>
      <c r="F204" t="s">
        <v>1069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1069</v>
      </c>
    </row>
    <row r="205" spans="1:12" x14ac:dyDescent="0.2">
      <c r="A205">
        <v>9</v>
      </c>
      <c r="B205" t="s">
        <v>1047</v>
      </c>
      <c r="C205">
        <v>68</v>
      </c>
      <c r="D205" t="s">
        <v>1049</v>
      </c>
      <c r="E205">
        <v>2</v>
      </c>
      <c r="F205" t="s">
        <v>1070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1070</v>
      </c>
    </row>
    <row r="206" spans="1:12" x14ac:dyDescent="0.2">
      <c r="A206">
        <v>9</v>
      </c>
      <c r="B206" t="s">
        <v>1047</v>
      </c>
      <c r="C206">
        <v>68</v>
      </c>
      <c r="D206" t="s">
        <v>1049</v>
      </c>
      <c r="E206">
        <v>3</v>
      </c>
      <c r="F206" t="s">
        <v>1071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1071</v>
      </c>
    </row>
    <row r="207" spans="1:12" x14ac:dyDescent="0.2">
      <c r="A207">
        <v>9</v>
      </c>
      <c r="B207" t="s">
        <v>1047</v>
      </c>
      <c r="C207">
        <v>68</v>
      </c>
      <c r="D207" t="s">
        <v>1049</v>
      </c>
      <c r="E207">
        <v>4</v>
      </c>
      <c r="F207" t="s">
        <v>1072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1072</v>
      </c>
    </row>
    <row r="208" spans="1:12" x14ac:dyDescent="0.2">
      <c r="A208">
        <v>9</v>
      </c>
      <c r="B208" t="s">
        <v>1047</v>
      </c>
      <c r="C208">
        <v>68</v>
      </c>
      <c r="D208" t="s">
        <v>1049</v>
      </c>
      <c r="E208">
        <v>5</v>
      </c>
      <c r="F208" t="s">
        <v>1073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1073</v>
      </c>
    </row>
    <row r="209" spans="1:12" x14ac:dyDescent="0.2">
      <c r="A209">
        <v>9</v>
      </c>
      <c r="B209" t="s">
        <v>1047</v>
      </c>
      <c r="C209">
        <v>68</v>
      </c>
      <c r="D209" t="s">
        <v>1049</v>
      </c>
      <c r="E209">
        <v>6</v>
      </c>
      <c r="F209" t="s">
        <v>1074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1074</v>
      </c>
    </row>
    <row r="210" spans="1:12" x14ac:dyDescent="0.2">
      <c r="A210">
        <v>9</v>
      </c>
      <c r="B210" t="s">
        <v>1047</v>
      </c>
      <c r="C210">
        <v>68</v>
      </c>
      <c r="D210" t="s">
        <v>1049</v>
      </c>
      <c r="E210">
        <v>7</v>
      </c>
      <c r="F210" t="s">
        <v>1075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1075</v>
      </c>
    </row>
    <row r="211" spans="1:12" x14ac:dyDescent="0.2">
      <c r="A211">
        <v>9</v>
      </c>
      <c r="B211" t="s">
        <v>1047</v>
      </c>
      <c r="C211">
        <v>68</v>
      </c>
      <c r="D211" t="s">
        <v>1049</v>
      </c>
      <c r="E211">
        <v>8</v>
      </c>
      <c r="F211" t="s">
        <v>1076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1076</v>
      </c>
    </row>
    <row r="212" spans="1:12" x14ac:dyDescent="0.2">
      <c r="A212">
        <v>9</v>
      </c>
      <c r="B212" t="s">
        <v>1047</v>
      </c>
      <c r="C212">
        <v>68</v>
      </c>
      <c r="D212" t="s">
        <v>1049</v>
      </c>
      <c r="E212">
        <v>9</v>
      </c>
      <c r="F212" t="s">
        <v>1077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1077</v>
      </c>
    </row>
    <row r="213" spans="1:12" x14ac:dyDescent="0.2">
      <c r="A213">
        <v>9</v>
      </c>
      <c r="B213" t="s">
        <v>1047</v>
      </c>
      <c r="C213">
        <v>69</v>
      </c>
      <c r="D213" t="s">
        <v>1055</v>
      </c>
      <c r="E213">
        <v>1</v>
      </c>
      <c r="F213" t="s">
        <v>1101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1101</v>
      </c>
    </row>
    <row r="214" spans="1:12" x14ac:dyDescent="0.2">
      <c r="A214">
        <v>9</v>
      </c>
      <c r="B214" t="s">
        <v>1047</v>
      </c>
      <c r="C214">
        <v>69</v>
      </c>
      <c r="D214" t="s">
        <v>1055</v>
      </c>
      <c r="E214">
        <v>2</v>
      </c>
      <c r="F214" t="s">
        <v>1102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1102</v>
      </c>
    </row>
    <row r="215" spans="1:12" x14ac:dyDescent="0.2">
      <c r="A215">
        <v>9</v>
      </c>
      <c r="B215" t="s">
        <v>1047</v>
      </c>
      <c r="C215">
        <v>69</v>
      </c>
      <c r="D215" t="s">
        <v>1055</v>
      </c>
      <c r="E215">
        <v>3</v>
      </c>
      <c r="F215" t="s">
        <v>1103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1103</v>
      </c>
    </row>
    <row r="216" spans="1:12" x14ac:dyDescent="0.2">
      <c r="A216">
        <v>9</v>
      </c>
      <c r="B216" t="s">
        <v>1047</v>
      </c>
      <c r="C216">
        <v>69</v>
      </c>
      <c r="D216" t="s">
        <v>1055</v>
      </c>
      <c r="E216">
        <v>4</v>
      </c>
      <c r="F216" t="s">
        <v>1104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1104</v>
      </c>
    </row>
    <row r="217" spans="1:12" x14ac:dyDescent="0.2">
      <c r="A217">
        <v>9</v>
      </c>
      <c r="B217" t="s">
        <v>1047</v>
      </c>
      <c r="C217">
        <v>69</v>
      </c>
      <c r="D217" t="s">
        <v>1055</v>
      </c>
      <c r="E217">
        <v>5</v>
      </c>
      <c r="F217" t="s">
        <v>1105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1105</v>
      </c>
    </row>
    <row r="218" spans="1:12" x14ac:dyDescent="0.2">
      <c r="A218">
        <v>9</v>
      </c>
      <c r="B218" t="s">
        <v>1047</v>
      </c>
      <c r="C218">
        <v>69</v>
      </c>
      <c r="D218" t="s">
        <v>1055</v>
      </c>
      <c r="E218">
        <v>6</v>
      </c>
      <c r="F218" t="s">
        <v>1106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1106</v>
      </c>
    </row>
    <row r="219" spans="1:12" x14ac:dyDescent="0.2">
      <c r="A219">
        <v>11</v>
      </c>
      <c r="B219" t="s">
        <v>903</v>
      </c>
      <c r="C219">
        <v>70</v>
      </c>
      <c r="D219" t="s">
        <v>902</v>
      </c>
      <c r="E219">
        <v>1</v>
      </c>
      <c r="F219" t="s">
        <v>921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921</v>
      </c>
    </row>
    <row r="220" spans="1:12" x14ac:dyDescent="0.2">
      <c r="A220">
        <v>11</v>
      </c>
      <c r="B220" t="s">
        <v>903</v>
      </c>
      <c r="C220">
        <v>70</v>
      </c>
      <c r="D220" t="s">
        <v>902</v>
      </c>
      <c r="E220">
        <v>2</v>
      </c>
      <c r="F220" t="s">
        <v>922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922</v>
      </c>
    </row>
    <row r="221" spans="1:12" x14ac:dyDescent="0.2">
      <c r="A221">
        <v>11</v>
      </c>
      <c r="B221" t="s">
        <v>903</v>
      </c>
      <c r="C221">
        <v>70</v>
      </c>
      <c r="D221" t="s">
        <v>902</v>
      </c>
      <c r="E221">
        <v>3</v>
      </c>
      <c r="F221" t="s">
        <v>923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923</v>
      </c>
    </row>
    <row r="222" spans="1:12" x14ac:dyDescent="0.2">
      <c r="A222">
        <v>11</v>
      </c>
      <c r="B222" t="s">
        <v>903</v>
      </c>
      <c r="C222">
        <v>70</v>
      </c>
      <c r="D222" t="s">
        <v>902</v>
      </c>
      <c r="E222">
        <v>4</v>
      </c>
      <c r="F222" t="s">
        <v>924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924</v>
      </c>
    </row>
    <row r="223" spans="1:12" x14ac:dyDescent="0.2">
      <c r="A223">
        <v>12</v>
      </c>
      <c r="B223" t="s">
        <v>972</v>
      </c>
      <c r="C223">
        <v>71</v>
      </c>
      <c r="D223" t="s">
        <v>969</v>
      </c>
      <c r="E223">
        <v>1</v>
      </c>
      <c r="F223" t="s">
        <v>1004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1004</v>
      </c>
    </row>
    <row r="224" spans="1:12" x14ac:dyDescent="0.2">
      <c r="A224">
        <v>10</v>
      </c>
      <c r="B224" t="s">
        <v>840</v>
      </c>
      <c r="C224">
        <v>72</v>
      </c>
      <c r="D224" t="s">
        <v>820</v>
      </c>
      <c r="E224">
        <v>1</v>
      </c>
      <c r="F224" t="s">
        <v>826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826</v>
      </c>
    </row>
    <row r="225" spans="1:12" x14ac:dyDescent="0.2">
      <c r="A225">
        <v>10</v>
      </c>
      <c r="B225" t="s">
        <v>840</v>
      </c>
      <c r="C225">
        <v>72</v>
      </c>
      <c r="D225" t="s">
        <v>820</v>
      </c>
      <c r="E225">
        <v>2</v>
      </c>
      <c r="F225" t="s">
        <v>827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827</v>
      </c>
    </row>
    <row r="226" spans="1:12" x14ac:dyDescent="0.2">
      <c r="A226">
        <v>10</v>
      </c>
      <c r="B226" t="s">
        <v>840</v>
      </c>
      <c r="C226">
        <v>72</v>
      </c>
      <c r="D226" t="s">
        <v>820</v>
      </c>
      <c r="E226">
        <v>3</v>
      </c>
      <c r="F226" t="s">
        <v>828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828</v>
      </c>
    </row>
    <row r="227" spans="1:12" x14ac:dyDescent="0.2">
      <c r="A227">
        <v>3</v>
      </c>
      <c r="B227" t="s">
        <v>1008</v>
      </c>
      <c r="C227">
        <v>73</v>
      </c>
      <c r="D227" t="s">
        <v>1014</v>
      </c>
      <c r="E227">
        <v>1</v>
      </c>
      <c r="F227" t="s">
        <v>1046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1046</v>
      </c>
    </row>
    <row r="228" spans="1:12" x14ac:dyDescent="0.2">
      <c r="A228">
        <v>9</v>
      </c>
      <c r="B228" t="s">
        <v>1047</v>
      </c>
      <c r="C228">
        <v>74</v>
      </c>
      <c r="D228" t="s">
        <v>1058</v>
      </c>
      <c r="E228">
        <v>1</v>
      </c>
      <c r="F228" t="s">
        <v>1108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1108</v>
      </c>
    </row>
    <row r="229" spans="1:12" x14ac:dyDescent="0.2">
      <c r="A229">
        <v>12</v>
      </c>
      <c r="B229" t="s">
        <v>972</v>
      </c>
      <c r="C229">
        <v>75</v>
      </c>
      <c r="D229" t="s">
        <v>966</v>
      </c>
      <c r="E229">
        <v>1</v>
      </c>
      <c r="F229" t="s">
        <v>1000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1000</v>
      </c>
    </row>
    <row r="230" spans="1:12" x14ac:dyDescent="0.2">
      <c r="A230">
        <v>12</v>
      </c>
      <c r="B230" t="s">
        <v>972</v>
      </c>
      <c r="C230">
        <v>75</v>
      </c>
      <c r="D230" t="s">
        <v>966</v>
      </c>
      <c r="E230">
        <v>2</v>
      </c>
      <c r="F230" t="s">
        <v>1001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1001</v>
      </c>
    </row>
    <row r="231" spans="1:12" x14ac:dyDescent="0.2">
      <c r="A231">
        <v>1</v>
      </c>
      <c r="B231" t="s">
        <v>713</v>
      </c>
      <c r="C231">
        <v>76</v>
      </c>
      <c r="D231" t="s">
        <v>732</v>
      </c>
      <c r="E231">
        <v>1</v>
      </c>
      <c r="F231" t="s">
        <v>817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819</v>
      </c>
    </row>
    <row r="232" spans="1:12" x14ac:dyDescent="0.2">
      <c r="A232">
        <v>1</v>
      </c>
      <c r="B232" t="s">
        <v>713</v>
      </c>
      <c r="C232">
        <v>76</v>
      </c>
      <c r="D232" t="s">
        <v>732</v>
      </c>
      <c r="E232">
        <v>2</v>
      </c>
      <c r="F232" t="s">
        <v>818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817</v>
      </c>
    </row>
    <row r="233" spans="1:12" x14ac:dyDescent="0.2">
      <c r="A233">
        <v>1</v>
      </c>
      <c r="B233" t="s">
        <v>713</v>
      </c>
      <c r="C233">
        <v>76</v>
      </c>
      <c r="D233" t="s">
        <v>732</v>
      </c>
      <c r="E233">
        <v>3</v>
      </c>
      <c r="F233" t="s">
        <v>819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818</v>
      </c>
    </row>
    <row r="234" spans="1:12" x14ac:dyDescent="0.2">
      <c r="A234">
        <v>11</v>
      </c>
      <c r="B234" t="s">
        <v>903</v>
      </c>
      <c r="C234">
        <v>76</v>
      </c>
      <c r="D234" t="s">
        <v>732</v>
      </c>
      <c r="E234">
        <v>1</v>
      </c>
      <c r="F234" t="s">
        <v>819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914</v>
      </c>
    </row>
    <row r="235" spans="1:12" x14ac:dyDescent="0.2">
      <c r="A235">
        <v>11</v>
      </c>
      <c r="B235" t="s">
        <v>903</v>
      </c>
      <c r="C235">
        <v>76</v>
      </c>
      <c r="D235" t="s">
        <v>732</v>
      </c>
      <c r="E235">
        <v>2</v>
      </c>
      <c r="F235" t="s">
        <v>914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819</v>
      </c>
    </row>
    <row r="236" spans="1:12" x14ac:dyDescent="0.2">
      <c r="A236">
        <v>11</v>
      </c>
      <c r="B236" t="s">
        <v>903</v>
      </c>
      <c r="C236">
        <v>76</v>
      </c>
      <c r="D236" t="s">
        <v>732</v>
      </c>
      <c r="E236">
        <v>3</v>
      </c>
      <c r="F236" t="s">
        <v>817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817</v>
      </c>
    </row>
    <row r="237" spans="1:12" x14ac:dyDescent="0.2">
      <c r="A237">
        <v>11</v>
      </c>
      <c r="B237" t="s">
        <v>903</v>
      </c>
      <c r="C237">
        <v>76</v>
      </c>
      <c r="D237" t="s">
        <v>732</v>
      </c>
      <c r="E237">
        <v>4</v>
      </c>
      <c r="F237" t="s">
        <v>915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915</v>
      </c>
    </row>
    <row r="238" spans="1:12" x14ac:dyDescent="0.2">
      <c r="A238">
        <v>11</v>
      </c>
      <c r="B238" t="s">
        <v>903</v>
      </c>
      <c r="C238">
        <v>76</v>
      </c>
      <c r="D238" t="s">
        <v>732</v>
      </c>
      <c r="E238">
        <v>5</v>
      </c>
      <c r="F238" t="s">
        <v>916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916</v>
      </c>
    </row>
    <row r="239" spans="1:12" x14ac:dyDescent="0.2">
      <c r="A239">
        <v>11</v>
      </c>
      <c r="B239" t="s">
        <v>903</v>
      </c>
      <c r="C239">
        <v>76</v>
      </c>
      <c r="D239" t="s">
        <v>732</v>
      </c>
      <c r="E239">
        <v>6</v>
      </c>
      <c r="F239" t="s">
        <v>917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917</v>
      </c>
    </row>
    <row r="240" spans="1:12" x14ac:dyDescent="0.2">
      <c r="A240">
        <v>11</v>
      </c>
      <c r="B240" t="s">
        <v>903</v>
      </c>
      <c r="C240">
        <v>76</v>
      </c>
      <c r="D240" t="s">
        <v>732</v>
      </c>
      <c r="E240">
        <v>7</v>
      </c>
      <c r="F240" t="s">
        <v>818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818</v>
      </c>
    </row>
    <row r="241" spans="1:12" x14ac:dyDescent="0.2">
      <c r="A241">
        <v>5</v>
      </c>
      <c r="B241" t="s">
        <v>841</v>
      </c>
      <c r="C241">
        <v>78</v>
      </c>
      <c r="D241" t="s">
        <v>843</v>
      </c>
      <c r="E241">
        <v>1</v>
      </c>
      <c r="F241" t="s">
        <v>852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852</v>
      </c>
    </row>
    <row r="242" spans="1:12" x14ac:dyDescent="0.2">
      <c r="A242">
        <v>5</v>
      </c>
      <c r="B242" t="s">
        <v>841</v>
      </c>
      <c r="C242">
        <v>78</v>
      </c>
      <c r="D242" t="s">
        <v>843</v>
      </c>
      <c r="E242">
        <v>2</v>
      </c>
      <c r="F242" t="s">
        <v>853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853</v>
      </c>
    </row>
    <row r="243" spans="1:12" x14ac:dyDescent="0.2">
      <c r="A243">
        <v>5</v>
      </c>
      <c r="B243" t="s">
        <v>841</v>
      </c>
      <c r="C243">
        <v>78</v>
      </c>
      <c r="D243" t="s">
        <v>843</v>
      </c>
      <c r="E243">
        <v>3</v>
      </c>
      <c r="F243" t="s">
        <v>854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854</v>
      </c>
    </row>
    <row r="244" spans="1:12" x14ac:dyDescent="0.2">
      <c r="A244">
        <v>5</v>
      </c>
      <c r="B244" t="s">
        <v>841</v>
      </c>
      <c r="C244">
        <v>78</v>
      </c>
      <c r="D244" t="s">
        <v>843</v>
      </c>
      <c r="E244">
        <v>4</v>
      </c>
      <c r="F244" t="s">
        <v>855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855</v>
      </c>
    </row>
    <row r="245" spans="1:12" x14ac:dyDescent="0.2">
      <c r="A245">
        <v>5</v>
      </c>
      <c r="B245" t="s">
        <v>841</v>
      </c>
      <c r="C245">
        <v>78</v>
      </c>
      <c r="D245" t="s">
        <v>843</v>
      </c>
      <c r="E245">
        <v>5</v>
      </c>
      <c r="F245" t="s">
        <v>856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856</v>
      </c>
    </row>
    <row r="246" spans="1:12" x14ac:dyDescent="0.2">
      <c r="A246">
        <v>5</v>
      </c>
      <c r="B246" t="s">
        <v>841</v>
      </c>
      <c r="C246">
        <v>78</v>
      </c>
      <c r="D246" t="s">
        <v>843</v>
      </c>
      <c r="E246">
        <v>6</v>
      </c>
      <c r="F246" t="s">
        <v>857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857</v>
      </c>
    </row>
    <row r="247" spans="1:12" x14ac:dyDescent="0.2">
      <c r="A247">
        <v>5</v>
      </c>
      <c r="B247" t="s">
        <v>841</v>
      </c>
      <c r="C247">
        <v>78</v>
      </c>
      <c r="D247" t="s">
        <v>843</v>
      </c>
      <c r="E247">
        <v>7</v>
      </c>
      <c r="F247" t="s">
        <v>858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858</v>
      </c>
    </row>
    <row r="248" spans="1:12" x14ac:dyDescent="0.2">
      <c r="A248">
        <v>12</v>
      </c>
      <c r="B248" t="s">
        <v>972</v>
      </c>
      <c r="C248">
        <v>79</v>
      </c>
      <c r="D248" t="s">
        <v>960</v>
      </c>
      <c r="E248">
        <v>1</v>
      </c>
      <c r="F248" t="s">
        <v>973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973</v>
      </c>
    </row>
    <row r="249" spans="1:12" x14ac:dyDescent="0.2">
      <c r="A249">
        <v>12</v>
      </c>
      <c r="B249" t="s">
        <v>972</v>
      </c>
      <c r="C249">
        <v>79</v>
      </c>
      <c r="D249" t="s">
        <v>960</v>
      </c>
      <c r="E249">
        <v>2</v>
      </c>
      <c r="F249" t="s">
        <v>974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974</v>
      </c>
    </row>
    <row r="250" spans="1:12" x14ac:dyDescent="0.2">
      <c r="A250">
        <v>12</v>
      </c>
      <c r="B250" t="s">
        <v>972</v>
      </c>
      <c r="C250">
        <v>79</v>
      </c>
      <c r="D250" t="s">
        <v>960</v>
      </c>
      <c r="E250">
        <v>3</v>
      </c>
      <c r="F250" t="s">
        <v>975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975</v>
      </c>
    </row>
    <row r="251" spans="1:12" x14ac:dyDescent="0.2">
      <c r="A251">
        <v>12</v>
      </c>
      <c r="B251" t="s">
        <v>972</v>
      </c>
      <c r="C251">
        <v>79</v>
      </c>
      <c r="D251" t="s">
        <v>960</v>
      </c>
      <c r="E251">
        <v>4</v>
      </c>
      <c r="F251" t="s">
        <v>976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976</v>
      </c>
    </row>
    <row r="252" spans="1:12" x14ac:dyDescent="0.2">
      <c r="A252">
        <v>12</v>
      </c>
      <c r="B252" t="s">
        <v>972</v>
      </c>
      <c r="C252">
        <v>79</v>
      </c>
      <c r="D252" t="s">
        <v>960</v>
      </c>
      <c r="E252">
        <v>5</v>
      </c>
      <c r="F252" t="s">
        <v>977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977</v>
      </c>
    </row>
    <row r="253" spans="1:12" x14ac:dyDescent="0.2">
      <c r="A253">
        <v>12</v>
      </c>
      <c r="B253" t="s">
        <v>972</v>
      </c>
      <c r="C253">
        <v>79</v>
      </c>
      <c r="D253" t="s">
        <v>960</v>
      </c>
      <c r="E253">
        <v>6</v>
      </c>
      <c r="F253" t="s">
        <v>978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978</v>
      </c>
    </row>
    <row r="254" spans="1:12" x14ac:dyDescent="0.2">
      <c r="A254">
        <v>12</v>
      </c>
      <c r="B254" t="s">
        <v>972</v>
      </c>
      <c r="C254">
        <v>79</v>
      </c>
      <c r="D254" t="s">
        <v>960</v>
      </c>
      <c r="E254">
        <v>7</v>
      </c>
      <c r="F254" t="s">
        <v>979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979</v>
      </c>
    </row>
    <row r="255" spans="1:12" x14ac:dyDescent="0.2">
      <c r="A255">
        <v>12</v>
      </c>
      <c r="B255" t="s">
        <v>972</v>
      </c>
      <c r="C255">
        <v>79</v>
      </c>
      <c r="D255" t="s">
        <v>960</v>
      </c>
      <c r="E255">
        <v>8</v>
      </c>
      <c r="F255" t="s">
        <v>980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980</v>
      </c>
    </row>
    <row r="256" spans="1:12" x14ac:dyDescent="0.2">
      <c r="A256">
        <v>12</v>
      </c>
      <c r="B256" t="s">
        <v>972</v>
      </c>
      <c r="C256">
        <v>79</v>
      </c>
      <c r="D256" t="s">
        <v>960</v>
      </c>
      <c r="E256">
        <v>9</v>
      </c>
      <c r="F256" t="s">
        <v>981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981</v>
      </c>
    </row>
    <row r="257" spans="1:12" x14ac:dyDescent="0.2">
      <c r="A257">
        <v>12</v>
      </c>
      <c r="B257" t="s">
        <v>972</v>
      </c>
      <c r="C257">
        <v>79</v>
      </c>
      <c r="D257" t="s">
        <v>960</v>
      </c>
      <c r="E257">
        <v>10</v>
      </c>
      <c r="F257" t="s">
        <v>982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982</v>
      </c>
    </row>
    <row r="258" spans="1:12" x14ac:dyDescent="0.2">
      <c r="A258">
        <v>13</v>
      </c>
      <c r="B258" t="s">
        <v>1163</v>
      </c>
      <c r="C258">
        <v>80</v>
      </c>
      <c r="D258" t="s">
        <v>1170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1224</v>
      </c>
    </row>
    <row r="259" spans="1:12" x14ac:dyDescent="0.2">
      <c r="A259">
        <v>11</v>
      </c>
      <c r="B259" t="s">
        <v>903</v>
      </c>
      <c r="C259">
        <v>81</v>
      </c>
      <c r="D259" t="s">
        <v>900</v>
      </c>
      <c r="E259">
        <v>1</v>
      </c>
      <c r="F259" t="s">
        <v>918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918</v>
      </c>
    </row>
    <row r="260" spans="1:12" x14ac:dyDescent="0.2">
      <c r="A260">
        <v>11</v>
      </c>
      <c r="B260" t="s">
        <v>903</v>
      </c>
      <c r="C260">
        <v>81</v>
      </c>
      <c r="D260" t="s">
        <v>900</v>
      </c>
      <c r="E260">
        <v>2</v>
      </c>
      <c r="F260" t="s">
        <v>919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919</v>
      </c>
    </row>
    <row r="261" spans="1:12" x14ac:dyDescent="0.2">
      <c r="A261">
        <v>4</v>
      </c>
      <c r="B261" t="s">
        <v>953</v>
      </c>
      <c r="C261">
        <v>82</v>
      </c>
      <c r="D261" t="s">
        <v>950</v>
      </c>
      <c r="E261">
        <v>1</v>
      </c>
      <c r="F261" t="s">
        <v>955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955</v>
      </c>
    </row>
    <row r="262" spans="1:12" x14ac:dyDescent="0.2">
      <c r="A262">
        <v>4</v>
      </c>
      <c r="B262" t="s">
        <v>953</v>
      </c>
      <c r="C262">
        <v>82</v>
      </c>
      <c r="D262" t="s">
        <v>950</v>
      </c>
      <c r="E262">
        <v>2</v>
      </c>
      <c r="F262" t="s">
        <v>956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956</v>
      </c>
    </row>
    <row r="263" spans="1:12" x14ac:dyDescent="0.2">
      <c r="A263">
        <v>12</v>
      </c>
      <c r="B263" t="s">
        <v>972</v>
      </c>
      <c r="C263">
        <v>83</v>
      </c>
      <c r="D263" t="s">
        <v>970</v>
      </c>
      <c r="E263">
        <v>1</v>
      </c>
      <c r="F263" t="s">
        <v>1005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1005</v>
      </c>
    </row>
    <row r="264" spans="1:12" x14ac:dyDescent="0.2">
      <c r="A264">
        <v>12</v>
      </c>
      <c r="B264" t="s">
        <v>972</v>
      </c>
      <c r="C264">
        <v>83</v>
      </c>
      <c r="D264" t="s">
        <v>970</v>
      </c>
      <c r="E264">
        <v>2</v>
      </c>
      <c r="F264" t="s">
        <v>1006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1006</v>
      </c>
    </row>
    <row r="265" spans="1:12" x14ac:dyDescent="0.2">
      <c r="A265">
        <v>7</v>
      </c>
      <c r="B265" t="s">
        <v>1138</v>
      </c>
      <c r="C265">
        <v>84</v>
      </c>
      <c r="D265" t="s">
        <v>1130</v>
      </c>
      <c r="E265">
        <v>1</v>
      </c>
      <c r="F265" t="s">
        <v>1151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1151</v>
      </c>
    </row>
    <row r="266" spans="1:12" x14ac:dyDescent="0.2">
      <c r="A266">
        <v>7</v>
      </c>
      <c r="B266" t="s">
        <v>1138</v>
      </c>
      <c r="C266">
        <v>84</v>
      </c>
      <c r="D266" t="s">
        <v>1130</v>
      </c>
      <c r="E266">
        <v>2</v>
      </c>
      <c r="F266" t="s">
        <v>1152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1152</v>
      </c>
    </row>
    <row r="267" spans="1:12" x14ac:dyDescent="0.2">
      <c r="A267">
        <v>7</v>
      </c>
      <c r="B267" t="s">
        <v>1138</v>
      </c>
      <c r="C267">
        <v>86</v>
      </c>
      <c r="D267" t="s">
        <v>1124</v>
      </c>
      <c r="E267">
        <v>1</v>
      </c>
      <c r="F267" t="s">
        <v>1143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1143</v>
      </c>
    </row>
    <row r="268" spans="1:12" x14ac:dyDescent="0.2">
      <c r="A268">
        <v>1</v>
      </c>
      <c r="B268" t="s">
        <v>713</v>
      </c>
      <c r="C268">
        <v>87</v>
      </c>
      <c r="D268" t="s">
        <v>724</v>
      </c>
      <c r="E268">
        <v>1</v>
      </c>
      <c r="F268" t="s">
        <v>791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791</v>
      </c>
    </row>
    <row r="269" spans="1:12" x14ac:dyDescent="0.2">
      <c r="A269">
        <v>1</v>
      </c>
      <c r="B269" t="s">
        <v>713</v>
      </c>
      <c r="C269">
        <v>87</v>
      </c>
      <c r="D269" t="s">
        <v>724</v>
      </c>
      <c r="E269">
        <v>2</v>
      </c>
      <c r="F269" t="s">
        <v>792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792</v>
      </c>
    </row>
    <row r="270" spans="1:12" x14ac:dyDescent="0.2">
      <c r="A270">
        <v>1</v>
      </c>
      <c r="B270" t="s">
        <v>713</v>
      </c>
      <c r="C270">
        <v>87</v>
      </c>
      <c r="D270" t="s">
        <v>724</v>
      </c>
      <c r="E270">
        <v>3</v>
      </c>
      <c r="F270" t="s">
        <v>793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793</v>
      </c>
    </row>
    <row r="271" spans="1:12" x14ac:dyDescent="0.2">
      <c r="A271">
        <v>1</v>
      </c>
      <c r="B271" t="s">
        <v>713</v>
      </c>
      <c r="C271">
        <v>87</v>
      </c>
      <c r="D271" t="s">
        <v>724</v>
      </c>
      <c r="E271">
        <v>4</v>
      </c>
      <c r="F271" t="s">
        <v>794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794</v>
      </c>
    </row>
    <row r="272" spans="1:12" x14ac:dyDescent="0.2">
      <c r="A272">
        <v>7</v>
      </c>
      <c r="B272" t="s">
        <v>1138</v>
      </c>
      <c r="C272">
        <v>88</v>
      </c>
      <c r="D272" t="s">
        <v>1113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1224</v>
      </c>
    </row>
    <row r="273" spans="1:12" x14ac:dyDescent="0.2">
      <c r="A273">
        <v>7</v>
      </c>
      <c r="B273" t="s">
        <v>1138</v>
      </c>
      <c r="C273">
        <v>89</v>
      </c>
      <c r="D273" t="s">
        <v>1134</v>
      </c>
      <c r="E273">
        <v>1</v>
      </c>
      <c r="F273" t="s">
        <v>1159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1159</v>
      </c>
    </row>
    <row r="274" spans="1:12" x14ac:dyDescent="0.2">
      <c r="A274">
        <v>7</v>
      </c>
      <c r="B274" t="s">
        <v>1138</v>
      </c>
      <c r="C274">
        <v>90</v>
      </c>
      <c r="D274" t="s">
        <v>1110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1224</v>
      </c>
    </row>
    <row r="275" spans="1:12" x14ac:dyDescent="0.2">
      <c r="A275">
        <v>14</v>
      </c>
      <c r="B275" t="s">
        <v>881</v>
      </c>
      <c r="C275">
        <v>91</v>
      </c>
      <c r="D275" t="s">
        <v>876</v>
      </c>
      <c r="E275">
        <v>1</v>
      </c>
      <c r="F275" t="s">
        <v>882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882</v>
      </c>
    </row>
    <row r="276" spans="1:12" x14ac:dyDescent="0.2">
      <c r="A276">
        <v>14</v>
      </c>
      <c r="B276" t="s">
        <v>881</v>
      </c>
      <c r="C276">
        <v>91</v>
      </c>
      <c r="D276" t="s">
        <v>876</v>
      </c>
      <c r="E276">
        <v>2</v>
      </c>
      <c r="F276" t="s">
        <v>883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883</v>
      </c>
    </row>
    <row r="277" spans="1:12" x14ac:dyDescent="0.2">
      <c r="A277">
        <v>14</v>
      </c>
      <c r="B277" t="s">
        <v>881</v>
      </c>
      <c r="C277">
        <v>92</v>
      </c>
      <c r="D277" t="s">
        <v>878</v>
      </c>
      <c r="E277">
        <v>1</v>
      </c>
      <c r="F277" t="s">
        <v>885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885</v>
      </c>
    </row>
    <row r="278" spans="1:12" x14ac:dyDescent="0.2">
      <c r="A278">
        <v>14</v>
      </c>
      <c r="B278" t="s">
        <v>881</v>
      </c>
      <c r="C278">
        <v>92</v>
      </c>
      <c r="D278" t="s">
        <v>878</v>
      </c>
      <c r="E278">
        <v>2</v>
      </c>
      <c r="F278" t="s">
        <v>886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886</v>
      </c>
    </row>
    <row r="279" spans="1:12" x14ac:dyDescent="0.2">
      <c r="A279">
        <v>14</v>
      </c>
      <c r="B279" t="s">
        <v>881</v>
      </c>
      <c r="C279">
        <v>92</v>
      </c>
      <c r="D279" t="s">
        <v>878</v>
      </c>
      <c r="E279">
        <v>3</v>
      </c>
      <c r="F279" t="s">
        <v>887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887</v>
      </c>
    </row>
    <row r="280" spans="1:12" x14ac:dyDescent="0.2">
      <c r="A280">
        <v>14</v>
      </c>
      <c r="B280" t="s">
        <v>881</v>
      </c>
      <c r="C280">
        <v>92</v>
      </c>
      <c r="D280" t="s">
        <v>878</v>
      </c>
      <c r="E280">
        <v>4</v>
      </c>
      <c r="F280" t="s">
        <v>888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888</v>
      </c>
    </row>
    <row r="281" spans="1:12" x14ac:dyDescent="0.2">
      <c r="A281">
        <v>14</v>
      </c>
      <c r="B281" t="s">
        <v>881</v>
      </c>
      <c r="C281">
        <v>92</v>
      </c>
      <c r="D281" t="s">
        <v>878</v>
      </c>
      <c r="E281">
        <v>5</v>
      </c>
      <c r="F281" t="s">
        <v>889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889</v>
      </c>
    </row>
    <row r="282" spans="1:12" x14ac:dyDescent="0.2">
      <c r="A282">
        <v>14</v>
      </c>
      <c r="B282" t="s">
        <v>881</v>
      </c>
      <c r="C282">
        <v>92</v>
      </c>
      <c r="D282" t="s">
        <v>878</v>
      </c>
      <c r="E282">
        <v>6</v>
      </c>
      <c r="F282" t="s">
        <v>890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890</v>
      </c>
    </row>
    <row r="283" spans="1:12" x14ac:dyDescent="0.2">
      <c r="A283">
        <v>14</v>
      </c>
      <c r="B283" t="s">
        <v>881</v>
      </c>
      <c r="C283">
        <v>92</v>
      </c>
      <c r="D283" t="s">
        <v>878</v>
      </c>
      <c r="E283">
        <v>7</v>
      </c>
      <c r="F283" t="s">
        <v>891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891</v>
      </c>
    </row>
    <row r="284" spans="1:12" x14ac:dyDescent="0.2">
      <c r="A284">
        <v>1</v>
      </c>
      <c r="B284" t="s">
        <v>713</v>
      </c>
      <c r="C284">
        <v>93</v>
      </c>
      <c r="D284" t="s">
        <v>731</v>
      </c>
      <c r="E284">
        <v>1</v>
      </c>
      <c r="F284" t="s">
        <v>816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816</v>
      </c>
    </row>
    <row r="285" spans="1:12" x14ac:dyDescent="0.2">
      <c r="A285">
        <v>3</v>
      </c>
      <c r="B285" t="s">
        <v>1008</v>
      </c>
      <c r="C285">
        <v>94</v>
      </c>
      <c r="D285" t="s">
        <v>1010</v>
      </c>
      <c r="E285">
        <v>1</v>
      </c>
      <c r="F285" t="s">
        <v>1024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1024</v>
      </c>
    </row>
    <row r="286" spans="1:12" x14ac:dyDescent="0.2">
      <c r="A286">
        <v>3</v>
      </c>
      <c r="B286" t="s">
        <v>1008</v>
      </c>
      <c r="C286">
        <v>94</v>
      </c>
      <c r="D286" t="s">
        <v>1010</v>
      </c>
      <c r="E286">
        <v>2</v>
      </c>
      <c r="F286" t="s">
        <v>1025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1025</v>
      </c>
    </row>
    <row r="287" spans="1:12" x14ac:dyDescent="0.2">
      <c r="A287">
        <v>3</v>
      </c>
      <c r="B287" t="s">
        <v>1008</v>
      </c>
      <c r="C287">
        <v>94</v>
      </c>
      <c r="D287" t="s">
        <v>1010</v>
      </c>
      <c r="E287">
        <v>3</v>
      </c>
      <c r="F287" t="s">
        <v>1026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1026</v>
      </c>
    </row>
    <row r="288" spans="1:12" x14ac:dyDescent="0.2">
      <c r="A288">
        <v>3</v>
      </c>
      <c r="B288" t="s">
        <v>1008</v>
      </c>
      <c r="C288">
        <v>94</v>
      </c>
      <c r="D288" t="s">
        <v>1010</v>
      </c>
      <c r="E288">
        <v>4</v>
      </c>
      <c r="F288" t="s">
        <v>1027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1027</v>
      </c>
    </row>
    <row r="289" spans="1:12" x14ac:dyDescent="0.2">
      <c r="A289">
        <v>3</v>
      </c>
      <c r="B289" t="s">
        <v>1008</v>
      </c>
      <c r="C289">
        <v>94</v>
      </c>
      <c r="D289" t="s">
        <v>1010</v>
      </c>
      <c r="E289">
        <v>5</v>
      </c>
      <c r="F289" t="s">
        <v>1028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1028</v>
      </c>
    </row>
    <row r="290" spans="1:12" x14ac:dyDescent="0.2">
      <c r="A290">
        <v>3</v>
      </c>
      <c r="B290" t="s">
        <v>1008</v>
      </c>
      <c r="C290">
        <v>94</v>
      </c>
      <c r="D290" t="s">
        <v>1010</v>
      </c>
      <c r="E290">
        <v>6</v>
      </c>
      <c r="F290" t="s">
        <v>1029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1029</v>
      </c>
    </row>
    <row r="291" spans="1:12" x14ac:dyDescent="0.2">
      <c r="A291">
        <v>3</v>
      </c>
      <c r="B291" t="s">
        <v>1008</v>
      </c>
      <c r="C291">
        <v>94</v>
      </c>
      <c r="D291" t="s">
        <v>1010</v>
      </c>
      <c r="E291">
        <v>7</v>
      </c>
      <c r="F291" t="s">
        <v>1030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1030</v>
      </c>
    </row>
    <row r="292" spans="1:12" x14ac:dyDescent="0.2">
      <c r="A292">
        <v>3</v>
      </c>
      <c r="B292" t="s">
        <v>1008</v>
      </c>
      <c r="C292">
        <v>94</v>
      </c>
      <c r="D292" t="s">
        <v>1010</v>
      </c>
      <c r="E292">
        <v>8</v>
      </c>
      <c r="F292" t="s">
        <v>1031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1031</v>
      </c>
    </row>
    <row r="293" spans="1:12" x14ac:dyDescent="0.2">
      <c r="A293">
        <v>3</v>
      </c>
      <c r="B293" t="s">
        <v>1008</v>
      </c>
      <c r="C293">
        <v>94</v>
      </c>
      <c r="D293" t="s">
        <v>1010</v>
      </c>
      <c r="E293">
        <v>9</v>
      </c>
      <c r="F293" t="s">
        <v>1032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1032</v>
      </c>
    </row>
    <row r="294" spans="1:12" x14ac:dyDescent="0.2">
      <c r="A294">
        <v>9</v>
      </c>
      <c r="B294" t="s">
        <v>1047</v>
      </c>
      <c r="C294">
        <v>95</v>
      </c>
      <c r="D294" t="s">
        <v>1056</v>
      </c>
      <c r="E294">
        <v>1</v>
      </c>
      <c r="F294" t="s">
        <v>1056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1056</v>
      </c>
    </row>
    <row r="295" spans="1:12" x14ac:dyDescent="0.2">
      <c r="A295">
        <v>12</v>
      </c>
      <c r="B295" t="s">
        <v>972</v>
      </c>
      <c r="C295">
        <v>96</v>
      </c>
      <c r="D295" t="s">
        <v>967</v>
      </c>
      <c r="E295">
        <v>1</v>
      </c>
      <c r="F295" t="s">
        <v>1002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1002</v>
      </c>
    </row>
    <row r="296" spans="1:12" x14ac:dyDescent="0.2">
      <c r="A296">
        <v>1</v>
      </c>
      <c r="B296" t="s">
        <v>713</v>
      </c>
      <c r="C296">
        <v>97</v>
      </c>
      <c r="D296" t="s">
        <v>717</v>
      </c>
      <c r="E296">
        <v>1</v>
      </c>
      <c r="F296" t="s">
        <v>755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755</v>
      </c>
    </row>
    <row r="297" spans="1:12" x14ac:dyDescent="0.2">
      <c r="A297">
        <v>1</v>
      </c>
      <c r="B297" t="s">
        <v>713</v>
      </c>
      <c r="C297">
        <v>97</v>
      </c>
      <c r="D297" t="s">
        <v>717</v>
      </c>
      <c r="E297">
        <v>2</v>
      </c>
      <c r="F297" t="s">
        <v>756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756</v>
      </c>
    </row>
    <row r="298" spans="1:12" x14ac:dyDescent="0.2">
      <c r="A298">
        <v>1</v>
      </c>
      <c r="B298" t="s">
        <v>713</v>
      </c>
      <c r="C298">
        <v>97</v>
      </c>
      <c r="D298" t="s">
        <v>717</v>
      </c>
      <c r="E298">
        <v>3</v>
      </c>
      <c r="F298" t="s">
        <v>757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757</v>
      </c>
    </row>
    <row r="299" spans="1:12" x14ac:dyDescent="0.2">
      <c r="A299">
        <v>1</v>
      </c>
      <c r="B299" t="s">
        <v>713</v>
      </c>
      <c r="C299">
        <v>97</v>
      </c>
      <c r="D299" t="s">
        <v>717</v>
      </c>
      <c r="E299">
        <v>4</v>
      </c>
      <c r="F299" t="s">
        <v>758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758</v>
      </c>
    </row>
    <row r="300" spans="1:12" x14ac:dyDescent="0.2">
      <c r="A300">
        <v>1</v>
      </c>
      <c r="B300" t="s">
        <v>713</v>
      </c>
      <c r="C300">
        <v>97</v>
      </c>
      <c r="D300" t="s">
        <v>717</v>
      </c>
      <c r="E300">
        <v>5</v>
      </c>
      <c r="F300" t="s">
        <v>759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759</v>
      </c>
    </row>
    <row r="301" spans="1:12" x14ac:dyDescent="0.2">
      <c r="A301">
        <v>4</v>
      </c>
      <c r="B301" t="s">
        <v>953</v>
      </c>
      <c r="C301">
        <v>98</v>
      </c>
      <c r="D301" t="s">
        <v>951</v>
      </c>
      <c r="E301">
        <v>1</v>
      </c>
      <c r="F301" t="s">
        <v>957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957</v>
      </c>
    </row>
    <row r="302" spans="1:12" x14ac:dyDescent="0.2">
      <c r="A302">
        <v>4</v>
      </c>
      <c r="B302" t="s">
        <v>953</v>
      </c>
      <c r="C302">
        <v>98</v>
      </c>
      <c r="D302" t="s">
        <v>951</v>
      </c>
      <c r="E302">
        <v>2</v>
      </c>
      <c r="F302" t="s">
        <v>958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958</v>
      </c>
    </row>
    <row r="303" spans="1:12" x14ac:dyDescent="0.2">
      <c r="A303">
        <v>10</v>
      </c>
      <c r="B303" t="s">
        <v>840</v>
      </c>
      <c r="C303">
        <v>99</v>
      </c>
      <c r="D303" t="s">
        <v>821</v>
      </c>
      <c r="E303">
        <v>1</v>
      </c>
      <c r="F303" t="s">
        <v>829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829</v>
      </c>
    </row>
    <row r="304" spans="1:12" x14ac:dyDescent="0.2">
      <c r="A304">
        <v>10</v>
      </c>
      <c r="B304" t="s">
        <v>840</v>
      </c>
      <c r="C304">
        <v>99</v>
      </c>
      <c r="D304" t="s">
        <v>821</v>
      </c>
      <c r="E304">
        <v>2</v>
      </c>
      <c r="F304" t="s">
        <v>830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830</v>
      </c>
    </row>
    <row r="305" spans="1:12" x14ac:dyDescent="0.2">
      <c r="A305">
        <v>2</v>
      </c>
      <c r="B305" t="s">
        <v>868</v>
      </c>
      <c r="C305">
        <v>100</v>
      </c>
      <c r="D305" t="s">
        <v>861</v>
      </c>
      <c r="E305">
        <v>1</v>
      </c>
      <c r="F305" t="s">
        <v>864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864</v>
      </c>
    </row>
    <row r="306" spans="1:12" x14ac:dyDescent="0.2">
      <c r="A306">
        <v>2</v>
      </c>
      <c r="B306" t="s">
        <v>868</v>
      </c>
      <c r="C306">
        <v>100</v>
      </c>
      <c r="D306" t="s">
        <v>861</v>
      </c>
      <c r="E306">
        <v>2</v>
      </c>
      <c r="F306" t="s">
        <v>865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865</v>
      </c>
    </row>
    <row r="307" spans="1:12" x14ac:dyDescent="0.2">
      <c r="A307">
        <v>2</v>
      </c>
      <c r="B307" t="s">
        <v>868</v>
      </c>
      <c r="C307">
        <v>100</v>
      </c>
      <c r="D307" t="s">
        <v>861</v>
      </c>
      <c r="E307">
        <v>3</v>
      </c>
      <c r="F307" t="s">
        <v>866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866</v>
      </c>
    </row>
    <row r="308" spans="1:12" x14ac:dyDescent="0.2">
      <c r="A308">
        <v>2</v>
      </c>
      <c r="B308" t="s">
        <v>868</v>
      </c>
      <c r="C308">
        <v>100</v>
      </c>
      <c r="D308" t="s">
        <v>861</v>
      </c>
      <c r="E308">
        <v>4</v>
      </c>
      <c r="F308" t="s">
        <v>867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867</v>
      </c>
    </row>
    <row r="309" spans="1:12" x14ac:dyDescent="0.2">
      <c r="A309">
        <v>13</v>
      </c>
      <c r="B309" t="s">
        <v>1163</v>
      </c>
      <c r="C309">
        <v>101</v>
      </c>
      <c r="D309" t="s">
        <v>1166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1224</v>
      </c>
    </row>
    <row r="310" spans="1:12" x14ac:dyDescent="0.2">
      <c r="A310">
        <v>1</v>
      </c>
      <c r="B310" t="s">
        <v>713</v>
      </c>
      <c r="C310">
        <v>102</v>
      </c>
      <c r="D310" t="s">
        <v>730</v>
      </c>
      <c r="E310">
        <v>1</v>
      </c>
      <c r="F310" t="s">
        <v>812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812</v>
      </c>
    </row>
    <row r="311" spans="1:12" x14ac:dyDescent="0.2">
      <c r="A311">
        <v>1</v>
      </c>
      <c r="B311" t="s">
        <v>713</v>
      </c>
      <c r="C311">
        <v>102</v>
      </c>
      <c r="D311" t="s">
        <v>730</v>
      </c>
      <c r="E311">
        <v>2</v>
      </c>
      <c r="F311" t="s">
        <v>813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813</v>
      </c>
    </row>
    <row r="312" spans="1:12" x14ac:dyDescent="0.2">
      <c r="A312">
        <v>1</v>
      </c>
      <c r="B312" t="s">
        <v>713</v>
      </c>
      <c r="C312">
        <v>102</v>
      </c>
      <c r="D312" t="s">
        <v>730</v>
      </c>
      <c r="E312">
        <v>3</v>
      </c>
      <c r="F312" t="s">
        <v>814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814</v>
      </c>
    </row>
    <row r="313" spans="1:12" x14ac:dyDescent="0.2">
      <c r="A313">
        <v>1</v>
      </c>
      <c r="B313" t="s">
        <v>713</v>
      </c>
      <c r="C313">
        <v>102</v>
      </c>
      <c r="D313" t="s">
        <v>730</v>
      </c>
      <c r="E313">
        <v>4</v>
      </c>
      <c r="F313" t="s">
        <v>815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815</v>
      </c>
    </row>
    <row r="314" spans="1:12" x14ac:dyDescent="0.2">
      <c r="A314">
        <v>11</v>
      </c>
      <c r="B314" t="s">
        <v>903</v>
      </c>
      <c r="C314">
        <v>103</v>
      </c>
      <c r="D314" t="s">
        <v>898</v>
      </c>
      <c r="E314">
        <v>1</v>
      </c>
      <c r="F314" t="s">
        <v>904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904</v>
      </c>
    </row>
    <row r="315" spans="1:12" x14ac:dyDescent="0.2">
      <c r="A315">
        <v>11</v>
      </c>
      <c r="B315" t="s">
        <v>903</v>
      </c>
      <c r="C315">
        <v>103</v>
      </c>
      <c r="D315" t="s">
        <v>898</v>
      </c>
      <c r="E315">
        <v>2</v>
      </c>
      <c r="F315" t="s">
        <v>905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905</v>
      </c>
    </row>
    <row r="316" spans="1:12" x14ac:dyDescent="0.2">
      <c r="A316">
        <v>11</v>
      </c>
      <c r="B316" t="s">
        <v>903</v>
      </c>
      <c r="C316">
        <v>103</v>
      </c>
      <c r="D316" t="s">
        <v>898</v>
      </c>
      <c r="E316">
        <v>3</v>
      </c>
      <c r="F316" t="s">
        <v>906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906</v>
      </c>
    </row>
    <row r="317" spans="1:12" x14ac:dyDescent="0.2">
      <c r="A317">
        <v>11</v>
      </c>
      <c r="B317" t="s">
        <v>903</v>
      </c>
      <c r="C317">
        <v>103</v>
      </c>
      <c r="D317" t="s">
        <v>898</v>
      </c>
      <c r="E317">
        <v>4</v>
      </c>
      <c r="F317" t="s">
        <v>907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907</v>
      </c>
    </row>
    <row r="318" spans="1:12" x14ac:dyDescent="0.2">
      <c r="A318">
        <v>11</v>
      </c>
      <c r="B318" t="s">
        <v>903</v>
      </c>
      <c r="C318">
        <v>103</v>
      </c>
      <c r="D318" t="s">
        <v>898</v>
      </c>
      <c r="E318">
        <v>5</v>
      </c>
      <c r="F318" t="s">
        <v>908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908</v>
      </c>
    </row>
    <row r="319" spans="1:12" x14ac:dyDescent="0.2">
      <c r="A319">
        <v>11</v>
      </c>
      <c r="B319" t="s">
        <v>903</v>
      </c>
      <c r="C319">
        <v>103</v>
      </c>
      <c r="D319" t="s">
        <v>898</v>
      </c>
      <c r="E319">
        <v>6</v>
      </c>
      <c r="F319" t="s">
        <v>909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909</v>
      </c>
    </row>
    <row r="320" spans="1:12" x14ac:dyDescent="0.2">
      <c r="A320">
        <v>11</v>
      </c>
      <c r="B320" t="s">
        <v>903</v>
      </c>
      <c r="C320">
        <v>103</v>
      </c>
      <c r="D320" t="s">
        <v>898</v>
      </c>
      <c r="E320">
        <v>7</v>
      </c>
      <c r="F320" t="s">
        <v>910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910</v>
      </c>
    </row>
    <row r="321" spans="1:12" x14ac:dyDescent="0.2">
      <c r="A321">
        <v>12</v>
      </c>
      <c r="B321" t="s">
        <v>972</v>
      </c>
      <c r="C321">
        <v>104</v>
      </c>
      <c r="D321" t="s">
        <v>968</v>
      </c>
      <c r="E321">
        <v>1</v>
      </c>
      <c r="F321" t="s">
        <v>1003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1003</v>
      </c>
    </row>
    <row r="322" spans="1:12" x14ac:dyDescent="0.2">
      <c r="A322">
        <v>14</v>
      </c>
      <c r="B322" t="s">
        <v>881</v>
      </c>
      <c r="C322">
        <v>105</v>
      </c>
      <c r="D322" t="s">
        <v>877</v>
      </c>
      <c r="E322">
        <v>1</v>
      </c>
      <c r="F322" t="s">
        <v>884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884</v>
      </c>
    </row>
    <row r="323" spans="1:12" x14ac:dyDescent="0.2">
      <c r="A323">
        <v>4</v>
      </c>
      <c r="B323" t="s">
        <v>953</v>
      </c>
      <c r="C323">
        <v>106</v>
      </c>
      <c r="D323" t="s">
        <v>949</v>
      </c>
      <c r="E323">
        <v>1</v>
      </c>
      <c r="F323" t="s">
        <v>954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954</v>
      </c>
    </row>
    <row r="324" spans="1:12" x14ac:dyDescent="0.2">
      <c r="A324">
        <v>7</v>
      </c>
      <c r="B324" t="s">
        <v>1138</v>
      </c>
      <c r="C324">
        <v>107</v>
      </c>
      <c r="D324" t="s">
        <v>1129</v>
      </c>
      <c r="E324">
        <v>1</v>
      </c>
      <c r="F324" t="s">
        <v>1149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1149</v>
      </c>
    </row>
    <row r="325" spans="1:12" x14ac:dyDescent="0.2">
      <c r="A325">
        <v>7</v>
      </c>
      <c r="B325" t="s">
        <v>1138</v>
      </c>
      <c r="C325">
        <v>107</v>
      </c>
      <c r="D325" t="s">
        <v>1129</v>
      </c>
      <c r="E325">
        <v>2</v>
      </c>
      <c r="F325" t="s">
        <v>1150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1150</v>
      </c>
    </row>
    <row r="326" spans="1:12" x14ac:dyDescent="0.2">
      <c r="A326">
        <v>1</v>
      </c>
      <c r="B326" t="s">
        <v>713</v>
      </c>
      <c r="C326">
        <v>108</v>
      </c>
      <c r="D326" t="s">
        <v>719</v>
      </c>
      <c r="E326">
        <v>1</v>
      </c>
      <c r="F326" t="s">
        <v>764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764</v>
      </c>
    </row>
    <row r="327" spans="1:12" x14ac:dyDescent="0.2">
      <c r="A327">
        <v>1</v>
      </c>
      <c r="B327" t="s">
        <v>713</v>
      </c>
      <c r="C327">
        <v>108</v>
      </c>
      <c r="D327" t="s">
        <v>719</v>
      </c>
      <c r="E327">
        <v>2</v>
      </c>
      <c r="F327" t="s">
        <v>765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765</v>
      </c>
    </row>
    <row r="328" spans="1:12" x14ac:dyDescent="0.2">
      <c r="A328">
        <v>1</v>
      </c>
      <c r="B328" t="s">
        <v>713</v>
      </c>
      <c r="C328">
        <v>108</v>
      </c>
      <c r="D328" t="s">
        <v>719</v>
      </c>
      <c r="E328">
        <v>3</v>
      </c>
      <c r="F328" t="s">
        <v>766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766</v>
      </c>
    </row>
    <row r="329" spans="1:12" x14ac:dyDescent="0.2">
      <c r="A329">
        <v>1</v>
      </c>
      <c r="B329" t="s">
        <v>713</v>
      </c>
      <c r="C329">
        <v>108</v>
      </c>
      <c r="D329" t="s">
        <v>719</v>
      </c>
      <c r="E329">
        <v>4</v>
      </c>
      <c r="F329" t="s">
        <v>767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767</v>
      </c>
    </row>
    <row r="330" spans="1:12" x14ac:dyDescent="0.2">
      <c r="A330">
        <v>1</v>
      </c>
      <c r="B330" t="s">
        <v>713</v>
      </c>
      <c r="C330">
        <v>108</v>
      </c>
      <c r="D330" t="s">
        <v>719</v>
      </c>
      <c r="E330">
        <v>5</v>
      </c>
      <c r="F330" t="s">
        <v>768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768</v>
      </c>
    </row>
    <row r="331" spans="1:12" x14ac:dyDescent="0.2">
      <c r="A331">
        <v>1</v>
      </c>
      <c r="B331" t="s">
        <v>713</v>
      </c>
      <c r="C331">
        <v>108</v>
      </c>
      <c r="D331" t="s">
        <v>719</v>
      </c>
      <c r="E331">
        <v>6</v>
      </c>
      <c r="F331" t="s">
        <v>769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769</v>
      </c>
    </row>
    <row r="332" spans="1:12" x14ac:dyDescent="0.2">
      <c r="A332">
        <v>1</v>
      </c>
      <c r="B332" t="s">
        <v>713</v>
      </c>
      <c r="C332">
        <v>108</v>
      </c>
      <c r="D332" t="s">
        <v>719</v>
      </c>
      <c r="E332">
        <v>7</v>
      </c>
      <c r="F332" t="s">
        <v>770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770</v>
      </c>
    </row>
    <row r="333" spans="1:12" x14ac:dyDescent="0.2">
      <c r="A333">
        <v>7</v>
      </c>
      <c r="B333" t="s">
        <v>1138</v>
      </c>
      <c r="C333">
        <v>109</v>
      </c>
      <c r="D333" t="s">
        <v>1117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1224</v>
      </c>
    </row>
    <row r="334" spans="1:12" x14ac:dyDescent="0.2">
      <c r="A334">
        <v>7</v>
      </c>
      <c r="B334" t="s">
        <v>1138</v>
      </c>
      <c r="C334">
        <v>110</v>
      </c>
      <c r="D334" t="s">
        <v>1111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1224</v>
      </c>
    </row>
    <row r="335" spans="1:12" x14ac:dyDescent="0.2">
      <c r="A335">
        <v>7</v>
      </c>
      <c r="B335" t="s">
        <v>1138</v>
      </c>
      <c r="C335">
        <v>111</v>
      </c>
      <c r="D335" t="s">
        <v>1115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1224</v>
      </c>
    </row>
    <row r="336" spans="1:12" x14ac:dyDescent="0.2">
      <c r="A336">
        <v>7</v>
      </c>
      <c r="B336" t="s">
        <v>1138</v>
      </c>
      <c r="C336">
        <v>112</v>
      </c>
      <c r="D336" t="s">
        <v>1127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1224</v>
      </c>
    </row>
    <row r="337" spans="1:12" x14ac:dyDescent="0.2">
      <c r="A337">
        <v>1</v>
      </c>
      <c r="B337" t="s">
        <v>713</v>
      </c>
      <c r="C337">
        <v>113</v>
      </c>
      <c r="D337" t="s">
        <v>714</v>
      </c>
      <c r="E337">
        <v>1</v>
      </c>
      <c r="F337" t="s">
        <v>735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735</v>
      </c>
    </row>
    <row r="338" spans="1:12" x14ac:dyDescent="0.2">
      <c r="A338">
        <v>1</v>
      </c>
      <c r="B338" t="s">
        <v>713</v>
      </c>
      <c r="C338">
        <v>113</v>
      </c>
      <c r="D338" t="s">
        <v>714</v>
      </c>
      <c r="E338">
        <v>2</v>
      </c>
      <c r="F338" t="s">
        <v>736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736</v>
      </c>
    </row>
    <row r="339" spans="1:12" x14ac:dyDescent="0.2">
      <c r="A339">
        <v>1</v>
      </c>
      <c r="B339" t="s">
        <v>713</v>
      </c>
      <c r="C339">
        <v>113</v>
      </c>
      <c r="D339" t="s">
        <v>714</v>
      </c>
      <c r="E339">
        <v>3</v>
      </c>
      <c r="F339" t="s">
        <v>737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737</v>
      </c>
    </row>
    <row r="340" spans="1:12" x14ac:dyDescent="0.2">
      <c r="A340">
        <v>1</v>
      </c>
      <c r="B340" t="s">
        <v>713</v>
      </c>
      <c r="C340">
        <v>113</v>
      </c>
      <c r="D340" t="s">
        <v>714</v>
      </c>
      <c r="E340">
        <v>4</v>
      </c>
      <c r="F340" t="s">
        <v>738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738</v>
      </c>
    </row>
    <row r="341" spans="1:12" x14ac:dyDescent="0.2">
      <c r="A341">
        <v>1</v>
      </c>
      <c r="B341" t="s">
        <v>713</v>
      </c>
      <c r="C341">
        <v>113</v>
      </c>
      <c r="D341" t="s">
        <v>714</v>
      </c>
      <c r="E341">
        <v>5</v>
      </c>
      <c r="F341" t="s">
        <v>739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739</v>
      </c>
    </row>
    <row r="342" spans="1:12" x14ac:dyDescent="0.2">
      <c r="A342">
        <v>1</v>
      </c>
      <c r="B342" t="s">
        <v>713</v>
      </c>
      <c r="C342">
        <v>113</v>
      </c>
      <c r="D342" t="s">
        <v>714</v>
      </c>
      <c r="E342">
        <v>6</v>
      </c>
      <c r="F342" t="s">
        <v>740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740</v>
      </c>
    </row>
    <row r="343" spans="1:12" x14ac:dyDescent="0.2">
      <c r="A343">
        <v>1</v>
      </c>
      <c r="B343" t="s">
        <v>713</v>
      </c>
      <c r="C343">
        <v>113</v>
      </c>
      <c r="D343" t="s">
        <v>714</v>
      </c>
      <c r="E343">
        <v>7</v>
      </c>
      <c r="F343" t="s">
        <v>741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741</v>
      </c>
    </row>
    <row r="344" spans="1:12" x14ac:dyDescent="0.2">
      <c r="A344">
        <v>12</v>
      </c>
      <c r="B344" t="s">
        <v>972</v>
      </c>
      <c r="C344">
        <v>114</v>
      </c>
      <c r="D344" t="s">
        <v>965</v>
      </c>
      <c r="E344">
        <v>1</v>
      </c>
      <c r="F344" t="s">
        <v>999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999</v>
      </c>
    </row>
    <row r="345" spans="1:12" x14ac:dyDescent="0.2">
      <c r="A345">
        <v>14</v>
      </c>
      <c r="B345" t="s">
        <v>881</v>
      </c>
      <c r="C345">
        <v>115</v>
      </c>
      <c r="D345" t="s">
        <v>879</v>
      </c>
      <c r="E345">
        <v>1</v>
      </c>
      <c r="F345" t="s">
        <v>892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892</v>
      </c>
    </row>
    <row r="346" spans="1:12" x14ac:dyDescent="0.2">
      <c r="A346">
        <v>14</v>
      </c>
      <c r="B346" t="s">
        <v>881</v>
      </c>
      <c r="C346">
        <v>115</v>
      </c>
      <c r="D346" t="s">
        <v>879</v>
      </c>
      <c r="E346">
        <v>2</v>
      </c>
      <c r="F346" t="s">
        <v>893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893</v>
      </c>
    </row>
    <row r="347" spans="1:12" x14ac:dyDescent="0.2">
      <c r="A347">
        <v>14</v>
      </c>
      <c r="B347" t="s">
        <v>881</v>
      </c>
      <c r="C347">
        <v>115</v>
      </c>
      <c r="D347" t="s">
        <v>879</v>
      </c>
      <c r="E347">
        <v>3</v>
      </c>
      <c r="F347" t="s">
        <v>894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894</v>
      </c>
    </row>
    <row r="348" spans="1:12" x14ac:dyDescent="0.2">
      <c r="A348">
        <v>14</v>
      </c>
      <c r="B348" t="s">
        <v>881</v>
      </c>
      <c r="C348">
        <v>115</v>
      </c>
      <c r="D348" t="s">
        <v>879</v>
      </c>
      <c r="E348">
        <v>4</v>
      </c>
      <c r="F348" t="s">
        <v>895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895</v>
      </c>
    </row>
    <row r="349" spans="1:12" x14ac:dyDescent="0.2">
      <c r="A349">
        <v>8</v>
      </c>
      <c r="B349" t="s">
        <v>934</v>
      </c>
      <c r="C349">
        <v>116</v>
      </c>
      <c r="D349" t="s">
        <v>942</v>
      </c>
      <c r="E349">
        <v>1</v>
      </c>
      <c r="F349" t="s">
        <v>943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943</v>
      </c>
    </row>
    <row r="350" spans="1:12" x14ac:dyDescent="0.2">
      <c r="A350">
        <v>8</v>
      </c>
      <c r="B350" t="s">
        <v>934</v>
      </c>
      <c r="C350">
        <v>116</v>
      </c>
      <c r="D350" t="s">
        <v>942</v>
      </c>
      <c r="E350">
        <v>2</v>
      </c>
      <c r="F350" t="s">
        <v>944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944</v>
      </c>
    </row>
    <row r="351" spans="1:12" x14ac:dyDescent="0.2">
      <c r="A351">
        <v>8</v>
      </c>
      <c r="B351" t="s">
        <v>934</v>
      </c>
      <c r="C351">
        <v>116</v>
      </c>
      <c r="D351" t="s">
        <v>942</v>
      </c>
      <c r="E351">
        <v>3</v>
      </c>
      <c r="F351" t="s">
        <v>945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945</v>
      </c>
    </row>
    <row r="352" spans="1:12" x14ac:dyDescent="0.2">
      <c r="A352">
        <v>8</v>
      </c>
      <c r="B352" t="s">
        <v>934</v>
      </c>
      <c r="C352">
        <v>116</v>
      </c>
      <c r="D352" t="s">
        <v>942</v>
      </c>
      <c r="E352">
        <v>4</v>
      </c>
      <c r="F352" t="s">
        <v>946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946</v>
      </c>
    </row>
    <row r="353" spans="1:12" x14ac:dyDescent="0.2">
      <c r="A353">
        <v>8</v>
      </c>
      <c r="B353" t="s">
        <v>934</v>
      </c>
      <c r="C353">
        <v>116</v>
      </c>
      <c r="D353" t="s">
        <v>942</v>
      </c>
      <c r="E353">
        <v>5</v>
      </c>
      <c r="F353" t="s">
        <v>947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947</v>
      </c>
    </row>
    <row r="354" spans="1:12" x14ac:dyDescent="0.2">
      <c r="A354">
        <v>8</v>
      </c>
      <c r="B354" t="s">
        <v>934</v>
      </c>
      <c r="C354">
        <v>116</v>
      </c>
      <c r="D354" t="s">
        <v>942</v>
      </c>
      <c r="E354">
        <v>6</v>
      </c>
      <c r="F354" t="s">
        <v>948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948</v>
      </c>
    </row>
    <row r="355" spans="1:12" x14ac:dyDescent="0.2">
      <c r="A355">
        <v>5</v>
      </c>
      <c r="B355" t="s">
        <v>841</v>
      </c>
      <c r="C355">
        <v>117</v>
      </c>
      <c r="D355" t="s">
        <v>842</v>
      </c>
      <c r="E355">
        <v>1</v>
      </c>
      <c r="F355" t="s">
        <v>847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847</v>
      </c>
    </row>
    <row r="356" spans="1:12" x14ac:dyDescent="0.2">
      <c r="A356">
        <v>5</v>
      </c>
      <c r="B356" t="s">
        <v>841</v>
      </c>
      <c r="C356">
        <v>117</v>
      </c>
      <c r="D356" t="s">
        <v>842</v>
      </c>
      <c r="E356">
        <v>2</v>
      </c>
      <c r="F356" t="s">
        <v>848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848</v>
      </c>
    </row>
    <row r="357" spans="1:12" x14ac:dyDescent="0.2">
      <c r="A357">
        <v>5</v>
      </c>
      <c r="B357" t="s">
        <v>841</v>
      </c>
      <c r="C357">
        <v>117</v>
      </c>
      <c r="D357" t="s">
        <v>842</v>
      </c>
      <c r="E357">
        <v>3</v>
      </c>
      <c r="F357" t="s">
        <v>849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849</v>
      </c>
    </row>
    <row r="358" spans="1:12" x14ac:dyDescent="0.2">
      <c r="A358">
        <v>5</v>
      </c>
      <c r="B358" t="s">
        <v>841</v>
      </c>
      <c r="C358">
        <v>117</v>
      </c>
      <c r="D358" t="s">
        <v>842</v>
      </c>
      <c r="E358">
        <v>4</v>
      </c>
      <c r="F358" t="s">
        <v>850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850</v>
      </c>
    </row>
    <row r="359" spans="1:12" x14ac:dyDescent="0.2">
      <c r="A359">
        <v>5</v>
      </c>
      <c r="B359" t="s">
        <v>841</v>
      </c>
      <c r="C359">
        <v>117</v>
      </c>
      <c r="D359" t="s">
        <v>842</v>
      </c>
      <c r="E359">
        <v>5</v>
      </c>
      <c r="F359" t="s">
        <v>851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851</v>
      </c>
    </row>
    <row r="360" spans="1:12" x14ac:dyDescent="0.2">
      <c r="A360">
        <v>7</v>
      </c>
      <c r="B360" t="s">
        <v>1138</v>
      </c>
      <c r="C360">
        <v>118</v>
      </c>
      <c r="D360" t="s">
        <v>1126</v>
      </c>
      <c r="E360">
        <v>1</v>
      </c>
      <c r="F360" t="s">
        <v>1144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1144</v>
      </c>
    </row>
    <row r="361" spans="1:12" x14ac:dyDescent="0.2">
      <c r="A361">
        <v>7</v>
      </c>
      <c r="B361" t="s">
        <v>1138</v>
      </c>
      <c r="C361">
        <v>118</v>
      </c>
      <c r="D361" t="s">
        <v>1126</v>
      </c>
      <c r="E361">
        <v>2</v>
      </c>
      <c r="F361" t="s">
        <v>1145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1145</v>
      </c>
    </row>
    <row r="362" spans="1:12" x14ac:dyDescent="0.2">
      <c r="A362">
        <v>7</v>
      </c>
      <c r="B362" t="s">
        <v>1138</v>
      </c>
      <c r="C362">
        <v>118</v>
      </c>
      <c r="D362" t="s">
        <v>1126</v>
      </c>
      <c r="E362">
        <v>3</v>
      </c>
      <c r="F362" t="s">
        <v>1146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1146</v>
      </c>
    </row>
    <row r="363" spans="1:12" x14ac:dyDescent="0.2">
      <c r="A363">
        <v>11</v>
      </c>
      <c r="B363" t="s">
        <v>903</v>
      </c>
      <c r="C363">
        <v>119</v>
      </c>
      <c r="D363" t="s">
        <v>899</v>
      </c>
      <c r="E363">
        <v>1</v>
      </c>
      <c r="F363" t="s">
        <v>911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911</v>
      </c>
    </row>
    <row r="364" spans="1:12" x14ac:dyDescent="0.2">
      <c r="A364">
        <v>11</v>
      </c>
      <c r="B364" t="s">
        <v>903</v>
      </c>
      <c r="C364">
        <v>119</v>
      </c>
      <c r="D364" t="s">
        <v>899</v>
      </c>
      <c r="E364">
        <v>2</v>
      </c>
      <c r="F364" t="s">
        <v>912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912</v>
      </c>
    </row>
    <row r="365" spans="1:12" x14ac:dyDescent="0.2">
      <c r="A365">
        <v>11</v>
      </c>
      <c r="B365" t="s">
        <v>903</v>
      </c>
      <c r="C365">
        <v>119</v>
      </c>
      <c r="D365" t="s">
        <v>899</v>
      </c>
      <c r="E365">
        <v>3</v>
      </c>
      <c r="F365" t="s">
        <v>913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913</v>
      </c>
    </row>
    <row r="374" spans="2:5" ht="15" x14ac:dyDescent="0.25">
      <c r="B374" s="7" t="s">
        <v>1212</v>
      </c>
      <c r="C374" s="7" t="s">
        <v>1213</v>
      </c>
      <c r="D374" s="7" t="s">
        <v>1214</v>
      </c>
      <c r="E374" s="7" t="s">
        <v>1211</v>
      </c>
    </row>
    <row r="375" spans="2:5" ht="15" x14ac:dyDescent="0.25">
      <c r="B375" s="8">
        <v>100</v>
      </c>
      <c r="C375" s="8">
        <v>10</v>
      </c>
      <c r="D375" s="9" t="s">
        <v>963</v>
      </c>
      <c r="E375" s="8">
        <v>1</v>
      </c>
    </row>
    <row r="376" spans="2:5" ht="15" x14ac:dyDescent="0.25">
      <c r="B376" s="8">
        <v>100</v>
      </c>
      <c r="C376" s="8">
        <v>20</v>
      </c>
      <c r="D376" s="9" t="s">
        <v>1168</v>
      </c>
      <c r="E376" s="8">
        <v>2</v>
      </c>
    </row>
    <row r="377" spans="2:5" ht="15" x14ac:dyDescent="0.25">
      <c r="B377" s="8">
        <v>100</v>
      </c>
      <c r="C377" s="8">
        <v>30</v>
      </c>
      <c r="D377" s="9" t="s">
        <v>727</v>
      </c>
      <c r="E377" s="8">
        <v>3</v>
      </c>
    </row>
    <row r="378" spans="2:5" ht="15" x14ac:dyDescent="0.25">
      <c r="B378" s="8">
        <v>100</v>
      </c>
      <c r="C378" s="8">
        <v>40</v>
      </c>
      <c r="D378" s="9" t="s">
        <v>1054</v>
      </c>
      <c r="E378" s="8">
        <v>4</v>
      </c>
    </row>
    <row r="379" spans="2:5" ht="15" x14ac:dyDescent="0.25">
      <c r="B379" s="8">
        <v>100</v>
      </c>
      <c r="C379" s="8">
        <v>50</v>
      </c>
      <c r="D379" s="9" t="s">
        <v>825</v>
      </c>
      <c r="E379" s="8">
        <v>5</v>
      </c>
    </row>
    <row r="380" spans="2:5" ht="30" x14ac:dyDescent="0.25">
      <c r="B380" s="8">
        <v>100</v>
      </c>
      <c r="C380" s="8">
        <v>60</v>
      </c>
      <c r="D380" s="9" t="s">
        <v>1169</v>
      </c>
      <c r="E380" s="8">
        <v>6</v>
      </c>
    </row>
    <row r="381" spans="2:5" ht="30" x14ac:dyDescent="0.25">
      <c r="B381" s="8">
        <v>100</v>
      </c>
      <c r="C381" s="8">
        <v>70</v>
      </c>
      <c r="D381" s="9" t="s">
        <v>1167</v>
      </c>
      <c r="E381" s="8">
        <v>7</v>
      </c>
    </row>
    <row r="382" spans="2:5" ht="15" x14ac:dyDescent="0.25">
      <c r="B382" s="8">
        <v>100</v>
      </c>
      <c r="C382" s="8">
        <v>80</v>
      </c>
      <c r="D382" s="9" t="s">
        <v>1165</v>
      </c>
      <c r="E382" s="8">
        <v>8</v>
      </c>
    </row>
    <row r="383" spans="2:5" ht="15" x14ac:dyDescent="0.25">
      <c r="B383" s="8">
        <v>100</v>
      </c>
      <c r="C383" s="8">
        <v>90</v>
      </c>
      <c r="D383" s="9" t="s">
        <v>1164</v>
      </c>
      <c r="E383" s="8">
        <v>9</v>
      </c>
    </row>
    <row r="384" spans="2:5" ht="30" x14ac:dyDescent="0.25">
      <c r="B384" s="8">
        <v>100</v>
      </c>
      <c r="C384" s="8">
        <v>100</v>
      </c>
      <c r="D384" s="9" t="s">
        <v>1172</v>
      </c>
      <c r="E384" s="8">
        <v>10</v>
      </c>
    </row>
    <row r="385" spans="2:5" ht="15" x14ac:dyDescent="0.25">
      <c r="B385" s="8">
        <v>100</v>
      </c>
      <c r="C385" s="8">
        <v>110</v>
      </c>
      <c r="D385" s="9" t="s">
        <v>729</v>
      </c>
      <c r="E385" s="8">
        <v>11</v>
      </c>
    </row>
    <row r="386" spans="2:5" ht="15" x14ac:dyDescent="0.25">
      <c r="B386" s="8">
        <v>100</v>
      </c>
      <c r="C386" s="8">
        <v>120</v>
      </c>
      <c r="D386" s="9" t="s">
        <v>1128</v>
      </c>
      <c r="E386" s="8">
        <v>12</v>
      </c>
    </row>
    <row r="387" spans="2:5" ht="15" x14ac:dyDescent="0.25">
      <c r="B387" s="8">
        <v>100</v>
      </c>
      <c r="C387" s="8">
        <v>130</v>
      </c>
      <c r="D387" s="9" t="s">
        <v>1137</v>
      </c>
      <c r="E387" s="8">
        <v>13</v>
      </c>
    </row>
    <row r="388" spans="2:5" ht="30" x14ac:dyDescent="0.25">
      <c r="B388" s="8">
        <v>100</v>
      </c>
      <c r="C388" s="8">
        <v>140</v>
      </c>
      <c r="D388" s="9" t="s">
        <v>1120</v>
      </c>
      <c r="E388" s="8">
        <v>14</v>
      </c>
    </row>
    <row r="389" spans="2:5" ht="15" x14ac:dyDescent="0.25">
      <c r="B389" s="8">
        <v>100</v>
      </c>
      <c r="C389" s="8">
        <v>150</v>
      </c>
      <c r="D389" s="9" t="s">
        <v>1125</v>
      </c>
      <c r="E389" s="8">
        <v>15</v>
      </c>
    </row>
    <row r="390" spans="2:5" ht="15" x14ac:dyDescent="0.25">
      <c r="B390" s="8">
        <v>100</v>
      </c>
      <c r="C390" s="8">
        <v>160</v>
      </c>
      <c r="D390" s="9" t="s">
        <v>1119</v>
      </c>
      <c r="E390" s="8">
        <v>16</v>
      </c>
    </row>
    <row r="391" spans="2:5" ht="30" x14ac:dyDescent="0.25">
      <c r="B391" s="8">
        <v>100</v>
      </c>
      <c r="C391" s="8">
        <v>170</v>
      </c>
      <c r="D391" s="9" t="s">
        <v>1171</v>
      </c>
      <c r="E391" s="8">
        <v>17</v>
      </c>
    </row>
    <row r="392" spans="2:5" ht="15" x14ac:dyDescent="0.25">
      <c r="B392" s="8">
        <v>100</v>
      </c>
      <c r="C392" s="8">
        <v>180</v>
      </c>
      <c r="D392" s="9" t="s">
        <v>964</v>
      </c>
      <c r="E392" s="8">
        <v>18</v>
      </c>
    </row>
    <row r="393" spans="2:5" ht="15" x14ac:dyDescent="0.25">
      <c r="B393" s="8">
        <v>100</v>
      </c>
      <c r="C393" s="8">
        <v>190</v>
      </c>
      <c r="D393" s="9" t="s">
        <v>725</v>
      </c>
      <c r="E393" s="8">
        <v>19</v>
      </c>
    </row>
    <row r="394" spans="2:5" ht="15" x14ac:dyDescent="0.25">
      <c r="B394" s="8">
        <v>200</v>
      </c>
      <c r="C394" s="8">
        <v>10</v>
      </c>
      <c r="D394" s="9" t="s">
        <v>1012</v>
      </c>
      <c r="E394" s="8">
        <v>20</v>
      </c>
    </row>
    <row r="395" spans="2:5" ht="15" x14ac:dyDescent="0.25">
      <c r="B395" s="8">
        <v>200</v>
      </c>
      <c r="C395" s="8">
        <v>20</v>
      </c>
      <c r="D395" s="9" t="s">
        <v>1116</v>
      </c>
      <c r="E395" s="8">
        <v>21</v>
      </c>
    </row>
    <row r="396" spans="2:5" ht="15" x14ac:dyDescent="0.25">
      <c r="B396" s="8">
        <v>200</v>
      </c>
      <c r="C396" s="8">
        <v>30</v>
      </c>
      <c r="D396" s="9" t="s">
        <v>726</v>
      </c>
      <c r="E396" s="8">
        <v>22</v>
      </c>
    </row>
    <row r="397" spans="2:5" ht="15" x14ac:dyDescent="0.25">
      <c r="B397" s="8">
        <v>200</v>
      </c>
      <c r="C397" s="8">
        <v>40</v>
      </c>
      <c r="D397" s="9" t="s">
        <v>1131</v>
      </c>
      <c r="E397" s="8">
        <v>23</v>
      </c>
    </row>
    <row r="398" spans="2:5" ht="30" x14ac:dyDescent="0.25">
      <c r="B398" s="8">
        <v>200</v>
      </c>
      <c r="C398" s="8">
        <v>50</v>
      </c>
      <c r="D398" s="9" t="s">
        <v>1118</v>
      </c>
      <c r="E398" s="8">
        <v>24</v>
      </c>
    </row>
    <row r="399" spans="2:5" ht="15" x14ac:dyDescent="0.25">
      <c r="B399" s="8">
        <v>200</v>
      </c>
      <c r="C399" s="8">
        <v>60</v>
      </c>
      <c r="D399" s="9" t="s">
        <v>823</v>
      </c>
      <c r="E399" s="8">
        <v>25</v>
      </c>
    </row>
    <row r="400" spans="2:5" ht="15" x14ac:dyDescent="0.25">
      <c r="B400" s="8">
        <v>300</v>
      </c>
      <c r="C400" s="8">
        <v>10</v>
      </c>
      <c r="D400" s="9" t="s">
        <v>721</v>
      </c>
      <c r="E400" s="8">
        <v>26</v>
      </c>
    </row>
    <row r="401" spans="2:5" ht="30" x14ac:dyDescent="0.25">
      <c r="B401" s="8">
        <v>300</v>
      </c>
      <c r="C401" s="8">
        <v>20</v>
      </c>
      <c r="D401" s="9" t="s">
        <v>1114</v>
      </c>
      <c r="E401" s="8">
        <v>27</v>
      </c>
    </row>
    <row r="402" spans="2:5" ht="15" x14ac:dyDescent="0.25">
      <c r="B402" s="8">
        <v>300</v>
      </c>
      <c r="C402" s="8">
        <v>30</v>
      </c>
      <c r="D402" s="9" t="s">
        <v>925</v>
      </c>
      <c r="E402" s="8">
        <v>28</v>
      </c>
    </row>
    <row r="403" spans="2:5" ht="15" x14ac:dyDescent="0.25">
      <c r="B403" s="8">
        <v>300</v>
      </c>
      <c r="C403" s="8">
        <v>40</v>
      </c>
      <c r="D403" s="9" t="s">
        <v>952</v>
      </c>
      <c r="E403" s="8">
        <v>29</v>
      </c>
    </row>
    <row r="404" spans="2:5" ht="15" x14ac:dyDescent="0.25">
      <c r="B404" s="8">
        <v>300</v>
      </c>
      <c r="C404" s="8">
        <v>50</v>
      </c>
      <c r="D404" s="9" t="s">
        <v>718</v>
      </c>
      <c r="E404" s="8">
        <v>30</v>
      </c>
    </row>
    <row r="405" spans="2:5" ht="15" x14ac:dyDescent="0.25">
      <c r="B405" s="8">
        <v>400</v>
      </c>
      <c r="C405" s="8">
        <v>10</v>
      </c>
      <c r="D405" s="9" t="s">
        <v>844</v>
      </c>
      <c r="E405" s="8">
        <v>31</v>
      </c>
    </row>
    <row r="406" spans="2:5" ht="15" x14ac:dyDescent="0.25">
      <c r="B406" s="8">
        <v>400</v>
      </c>
      <c r="C406" s="8">
        <v>20</v>
      </c>
      <c r="D406" s="9" t="s">
        <v>1122</v>
      </c>
      <c r="E406" s="8">
        <v>32</v>
      </c>
    </row>
    <row r="407" spans="2:5" ht="15" x14ac:dyDescent="0.25">
      <c r="B407" s="8">
        <v>400</v>
      </c>
      <c r="C407" s="8">
        <v>30</v>
      </c>
      <c r="D407" s="9" t="s">
        <v>971</v>
      </c>
      <c r="E407" s="8">
        <v>33</v>
      </c>
    </row>
    <row r="408" spans="2:5" ht="15" x14ac:dyDescent="0.25">
      <c r="B408" s="8">
        <v>500</v>
      </c>
      <c r="C408" s="8">
        <v>10</v>
      </c>
      <c r="D408" s="9" t="s">
        <v>862</v>
      </c>
      <c r="E408" s="8">
        <v>34</v>
      </c>
    </row>
    <row r="409" spans="2:5" ht="30" x14ac:dyDescent="0.25">
      <c r="B409" s="8">
        <v>500</v>
      </c>
      <c r="C409" s="8">
        <v>20</v>
      </c>
      <c r="D409" s="9" t="s">
        <v>1009</v>
      </c>
      <c r="E409" s="8">
        <v>35</v>
      </c>
    </row>
    <row r="410" spans="2:5" ht="15" x14ac:dyDescent="0.25">
      <c r="B410" s="8">
        <v>500</v>
      </c>
      <c r="C410" s="8">
        <v>30</v>
      </c>
      <c r="D410" s="9" t="s">
        <v>880</v>
      </c>
      <c r="E410" s="8">
        <v>36</v>
      </c>
    </row>
    <row r="411" spans="2:5" ht="15" x14ac:dyDescent="0.25">
      <c r="B411" s="8">
        <v>500</v>
      </c>
      <c r="C411" s="8">
        <v>40</v>
      </c>
      <c r="D411" s="9" t="s">
        <v>845</v>
      </c>
      <c r="E411" s="8">
        <v>37</v>
      </c>
    </row>
    <row r="412" spans="2:5" ht="15" x14ac:dyDescent="0.25">
      <c r="B412" s="8">
        <v>500</v>
      </c>
      <c r="C412" s="8">
        <v>50</v>
      </c>
      <c r="D412" s="9" t="s">
        <v>1050</v>
      </c>
      <c r="E412" s="8">
        <v>38</v>
      </c>
    </row>
    <row r="413" spans="2:5" ht="15" x14ac:dyDescent="0.25">
      <c r="B413" s="8">
        <v>600</v>
      </c>
      <c r="C413" s="8">
        <v>10</v>
      </c>
      <c r="D413" s="9" t="s">
        <v>901</v>
      </c>
      <c r="E413" s="8">
        <v>39</v>
      </c>
    </row>
    <row r="414" spans="2:5" ht="15" x14ac:dyDescent="0.25">
      <c r="B414" s="8">
        <v>600</v>
      </c>
      <c r="C414" s="8">
        <v>20</v>
      </c>
      <c r="D414" s="9" t="s">
        <v>1052</v>
      </c>
      <c r="E414" s="8">
        <v>40</v>
      </c>
    </row>
    <row r="415" spans="2:5" ht="15" x14ac:dyDescent="0.25">
      <c r="B415" s="8">
        <v>600</v>
      </c>
      <c r="C415" s="8">
        <v>30</v>
      </c>
      <c r="D415" s="9" t="s">
        <v>1136</v>
      </c>
      <c r="E415" s="8">
        <v>41</v>
      </c>
    </row>
    <row r="416" spans="2:5" ht="15" x14ac:dyDescent="0.25">
      <c r="B416" s="8">
        <v>600</v>
      </c>
      <c r="C416" s="8">
        <v>40</v>
      </c>
      <c r="D416" s="9" t="s">
        <v>1048</v>
      </c>
      <c r="E416" s="8">
        <v>42</v>
      </c>
    </row>
    <row r="417" spans="2:5" ht="15" x14ac:dyDescent="0.25">
      <c r="B417" s="8">
        <v>600</v>
      </c>
      <c r="C417" s="8">
        <v>50</v>
      </c>
      <c r="D417" s="9" t="s">
        <v>1051</v>
      </c>
      <c r="E417" s="8">
        <v>43</v>
      </c>
    </row>
    <row r="418" spans="2:5" ht="15" x14ac:dyDescent="0.25">
      <c r="B418" s="8">
        <v>600</v>
      </c>
      <c r="C418" s="8">
        <v>60</v>
      </c>
      <c r="D418" s="9" t="s">
        <v>1053</v>
      </c>
      <c r="E418" s="8">
        <v>44</v>
      </c>
    </row>
    <row r="419" spans="2:5" ht="15" x14ac:dyDescent="0.25">
      <c r="B419" s="8">
        <v>700</v>
      </c>
      <c r="C419" s="8">
        <v>10</v>
      </c>
      <c r="D419" s="9" t="s">
        <v>1057</v>
      </c>
      <c r="E419" s="8">
        <v>45</v>
      </c>
    </row>
    <row r="420" spans="2:5" ht="15" x14ac:dyDescent="0.25">
      <c r="B420" s="8">
        <v>800</v>
      </c>
      <c r="C420" s="8">
        <v>10</v>
      </c>
      <c r="D420" s="9" t="s">
        <v>1123</v>
      </c>
      <c r="E420" s="8">
        <v>46</v>
      </c>
    </row>
    <row r="421" spans="2:5" ht="30" x14ac:dyDescent="0.25">
      <c r="B421" s="8">
        <v>800</v>
      </c>
      <c r="C421" s="8">
        <v>20</v>
      </c>
      <c r="D421" s="9" t="s">
        <v>1013</v>
      </c>
      <c r="E421" s="8">
        <v>47</v>
      </c>
    </row>
    <row r="422" spans="2:5" ht="15" x14ac:dyDescent="0.25">
      <c r="B422" s="8">
        <v>900</v>
      </c>
      <c r="C422" s="8">
        <v>10</v>
      </c>
      <c r="D422" s="9" t="s">
        <v>1109</v>
      </c>
      <c r="E422" s="8">
        <v>48</v>
      </c>
    </row>
    <row r="423" spans="2:5" ht="15" x14ac:dyDescent="0.25">
      <c r="B423" s="8">
        <v>900</v>
      </c>
      <c r="C423" s="8">
        <v>20</v>
      </c>
      <c r="D423" s="9" t="s">
        <v>961</v>
      </c>
      <c r="E423" s="8">
        <v>49</v>
      </c>
    </row>
    <row r="424" spans="2:5" ht="15" x14ac:dyDescent="0.25">
      <c r="B424" s="8">
        <v>900</v>
      </c>
      <c r="C424" s="8">
        <v>30</v>
      </c>
      <c r="D424" s="9" t="s">
        <v>962</v>
      </c>
      <c r="E424" s="8">
        <v>50</v>
      </c>
    </row>
    <row r="425" spans="2:5" ht="15" x14ac:dyDescent="0.25">
      <c r="B425" s="8">
        <v>900</v>
      </c>
      <c r="C425" s="8">
        <v>40</v>
      </c>
      <c r="D425" s="9" t="s">
        <v>1135</v>
      </c>
      <c r="E425" s="8">
        <v>51</v>
      </c>
    </row>
    <row r="426" spans="2:5" ht="15" x14ac:dyDescent="0.25">
      <c r="B426" s="8">
        <v>1000</v>
      </c>
      <c r="C426" s="8">
        <v>10</v>
      </c>
      <c r="D426" s="9" t="s">
        <v>1121</v>
      </c>
      <c r="E426" s="8">
        <v>52</v>
      </c>
    </row>
    <row r="427" spans="2:5" ht="15" x14ac:dyDescent="0.25">
      <c r="B427" s="8">
        <v>1000</v>
      </c>
      <c r="C427" s="8">
        <v>20</v>
      </c>
      <c r="D427" s="9" t="s">
        <v>846</v>
      </c>
      <c r="E427" s="8">
        <v>53</v>
      </c>
    </row>
    <row r="428" spans="2:5" ht="15" x14ac:dyDescent="0.25">
      <c r="B428" s="8">
        <v>1000</v>
      </c>
      <c r="C428" s="8">
        <v>30</v>
      </c>
      <c r="D428" s="9" t="s">
        <v>1112</v>
      </c>
      <c r="E428" s="8">
        <v>54</v>
      </c>
    </row>
    <row r="429" spans="2:5" ht="15" x14ac:dyDescent="0.25">
      <c r="B429" s="8">
        <v>1000</v>
      </c>
      <c r="C429" s="8">
        <v>40</v>
      </c>
      <c r="D429" s="9" t="s">
        <v>715</v>
      </c>
      <c r="E429" s="8">
        <v>55</v>
      </c>
    </row>
    <row r="430" spans="2:5" ht="30" x14ac:dyDescent="0.25">
      <c r="B430" s="8">
        <v>1000</v>
      </c>
      <c r="C430" s="8">
        <v>50</v>
      </c>
      <c r="D430" s="9" t="s">
        <v>1133</v>
      </c>
      <c r="E430" s="8">
        <v>56</v>
      </c>
    </row>
    <row r="431" spans="2:5" ht="15" x14ac:dyDescent="0.25">
      <c r="B431" s="8">
        <v>1000</v>
      </c>
      <c r="C431" s="8">
        <v>60</v>
      </c>
      <c r="D431" s="9" t="s">
        <v>824</v>
      </c>
      <c r="E431" s="8">
        <v>57</v>
      </c>
    </row>
    <row r="432" spans="2:5" ht="15" x14ac:dyDescent="0.25">
      <c r="B432" s="8">
        <v>1000</v>
      </c>
      <c r="C432" s="8">
        <v>70</v>
      </c>
      <c r="D432" s="9" t="s">
        <v>716</v>
      </c>
      <c r="E432" s="8">
        <v>58</v>
      </c>
    </row>
    <row r="433" spans="2:5" ht="15" x14ac:dyDescent="0.25">
      <c r="B433" s="8">
        <v>1000</v>
      </c>
      <c r="C433" s="8">
        <v>80</v>
      </c>
      <c r="D433" s="9" t="s">
        <v>722</v>
      </c>
      <c r="E433" s="8">
        <v>59</v>
      </c>
    </row>
    <row r="434" spans="2:5" ht="15" x14ac:dyDescent="0.25">
      <c r="B434" s="8">
        <v>1000</v>
      </c>
      <c r="C434" s="8">
        <v>90</v>
      </c>
      <c r="D434" s="9" t="s">
        <v>728</v>
      </c>
      <c r="E434" s="8">
        <v>60</v>
      </c>
    </row>
    <row r="435" spans="2:5" ht="15" x14ac:dyDescent="0.25">
      <c r="B435" s="8">
        <v>1000</v>
      </c>
      <c r="C435" s="8">
        <v>100</v>
      </c>
      <c r="D435" s="9" t="s">
        <v>1132</v>
      </c>
      <c r="E435" s="8">
        <v>61</v>
      </c>
    </row>
    <row r="436" spans="2:5" ht="15" x14ac:dyDescent="0.25">
      <c r="B436" s="8">
        <v>1000</v>
      </c>
      <c r="C436" s="8">
        <v>110</v>
      </c>
      <c r="D436" s="9" t="s">
        <v>935</v>
      </c>
      <c r="E436" s="8">
        <v>62</v>
      </c>
    </row>
    <row r="437" spans="2:5" ht="30" x14ac:dyDescent="0.25">
      <c r="B437" s="8">
        <v>1000</v>
      </c>
      <c r="C437" s="8">
        <v>120</v>
      </c>
      <c r="D437" s="9" t="s">
        <v>863</v>
      </c>
      <c r="E437" s="8">
        <v>63</v>
      </c>
    </row>
    <row r="438" spans="2:5" ht="15" x14ac:dyDescent="0.25">
      <c r="B438" s="8">
        <v>1100</v>
      </c>
      <c r="C438" s="8">
        <v>10</v>
      </c>
      <c r="D438" s="9" t="s">
        <v>720</v>
      </c>
      <c r="E438" s="8">
        <v>64</v>
      </c>
    </row>
    <row r="439" spans="2:5" ht="15" x14ac:dyDescent="0.25">
      <c r="B439" s="8">
        <v>1100</v>
      </c>
      <c r="C439" s="8">
        <v>20</v>
      </c>
      <c r="D439" s="9" t="s">
        <v>822</v>
      </c>
      <c r="E439" s="8">
        <v>65</v>
      </c>
    </row>
    <row r="440" spans="2:5" ht="15" x14ac:dyDescent="0.25">
      <c r="B440" s="8">
        <v>1100</v>
      </c>
      <c r="C440" s="8">
        <v>30</v>
      </c>
      <c r="D440" s="9" t="s">
        <v>723</v>
      </c>
      <c r="E440" s="8">
        <v>66</v>
      </c>
    </row>
    <row r="441" spans="2:5" ht="15" x14ac:dyDescent="0.25">
      <c r="B441" s="8">
        <v>1100</v>
      </c>
      <c r="C441" s="8">
        <v>40</v>
      </c>
      <c r="D441" s="9" t="s">
        <v>1011</v>
      </c>
      <c r="E441" s="8">
        <v>67</v>
      </c>
    </row>
    <row r="442" spans="2:5" ht="15" x14ac:dyDescent="0.25">
      <c r="B442" s="8">
        <v>1100</v>
      </c>
      <c r="C442" s="8">
        <v>50</v>
      </c>
      <c r="D442" s="9" t="s">
        <v>1049</v>
      </c>
      <c r="E442" s="8">
        <v>68</v>
      </c>
    </row>
    <row r="443" spans="2:5" ht="30" x14ac:dyDescent="0.25">
      <c r="B443" s="8">
        <v>1100</v>
      </c>
      <c r="C443" s="8">
        <v>60</v>
      </c>
      <c r="D443" s="9" t="s">
        <v>1055</v>
      </c>
      <c r="E443" s="8">
        <v>69</v>
      </c>
    </row>
    <row r="444" spans="2:5" ht="15" x14ac:dyDescent="0.25">
      <c r="B444" s="8">
        <v>1200</v>
      </c>
      <c r="C444" s="8">
        <v>10</v>
      </c>
      <c r="D444" s="9" t="s">
        <v>902</v>
      </c>
      <c r="E444" s="8">
        <v>70</v>
      </c>
    </row>
    <row r="445" spans="2:5" ht="15" x14ac:dyDescent="0.25">
      <c r="B445" s="8">
        <v>1200</v>
      </c>
      <c r="C445" s="8">
        <v>20</v>
      </c>
      <c r="D445" s="9" t="s">
        <v>969</v>
      </c>
      <c r="E445" s="8">
        <v>71</v>
      </c>
    </row>
    <row r="446" spans="2:5" ht="15" x14ac:dyDescent="0.25">
      <c r="B446" s="8">
        <v>1200</v>
      </c>
      <c r="C446" s="8">
        <v>30</v>
      </c>
      <c r="D446" s="9" t="s">
        <v>820</v>
      </c>
      <c r="E446" s="8">
        <v>72</v>
      </c>
    </row>
    <row r="447" spans="2:5" ht="30" x14ac:dyDescent="0.25">
      <c r="B447" s="8">
        <v>1200</v>
      </c>
      <c r="C447" s="8">
        <v>40</v>
      </c>
      <c r="D447" s="9" t="s">
        <v>1014</v>
      </c>
      <c r="E447" s="8">
        <v>73</v>
      </c>
    </row>
    <row r="448" spans="2:5" ht="15" x14ac:dyDescent="0.25">
      <c r="B448" s="8">
        <v>1200</v>
      </c>
      <c r="C448" s="8">
        <v>40</v>
      </c>
      <c r="D448" s="9" t="s">
        <v>1058</v>
      </c>
      <c r="E448" s="8">
        <v>74</v>
      </c>
    </row>
    <row r="449" spans="2:5" ht="15" x14ac:dyDescent="0.25">
      <c r="B449" s="8">
        <v>1200</v>
      </c>
      <c r="C449" s="8">
        <v>50</v>
      </c>
      <c r="D449" s="9" t="s">
        <v>966</v>
      </c>
      <c r="E449" s="8">
        <v>75</v>
      </c>
    </row>
    <row r="450" spans="2:5" ht="15" x14ac:dyDescent="0.25">
      <c r="B450" s="8">
        <v>1200</v>
      </c>
      <c r="C450" s="8">
        <v>60</v>
      </c>
      <c r="D450" s="9" t="s">
        <v>732</v>
      </c>
      <c r="E450" s="8">
        <v>76</v>
      </c>
    </row>
    <row r="451" spans="2:5" ht="15" x14ac:dyDescent="0.25">
      <c r="B451" s="8">
        <v>1200</v>
      </c>
      <c r="C451" s="8">
        <v>70</v>
      </c>
      <c r="D451" s="9" t="s">
        <v>732</v>
      </c>
      <c r="E451" s="8">
        <v>77</v>
      </c>
    </row>
    <row r="452" spans="2:5" ht="15" x14ac:dyDescent="0.25">
      <c r="B452" s="8">
        <v>1200</v>
      </c>
      <c r="C452" s="8">
        <v>80</v>
      </c>
      <c r="D452" s="9" t="s">
        <v>843</v>
      </c>
      <c r="E452" s="8">
        <v>78</v>
      </c>
    </row>
    <row r="453" spans="2:5" ht="15" x14ac:dyDescent="0.25">
      <c r="B453" s="8">
        <v>1200</v>
      </c>
      <c r="C453" s="8">
        <v>90</v>
      </c>
      <c r="D453" s="9" t="s">
        <v>960</v>
      </c>
      <c r="E453" s="8">
        <v>79</v>
      </c>
    </row>
    <row r="454" spans="2:5" ht="15" x14ac:dyDescent="0.25">
      <c r="B454" s="8">
        <v>1200</v>
      </c>
      <c r="C454" s="8">
        <v>100</v>
      </c>
      <c r="D454" s="9" t="s">
        <v>1170</v>
      </c>
      <c r="E454" s="8">
        <v>80</v>
      </c>
    </row>
    <row r="455" spans="2:5" ht="15" x14ac:dyDescent="0.25">
      <c r="B455" s="8">
        <v>1300</v>
      </c>
      <c r="C455" s="8">
        <v>10</v>
      </c>
      <c r="D455" s="9" t="s">
        <v>900</v>
      </c>
      <c r="E455" s="8">
        <v>81</v>
      </c>
    </row>
    <row r="456" spans="2:5" ht="15" x14ac:dyDescent="0.25">
      <c r="B456" s="8">
        <v>1300</v>
      </c>
      <c r="C456" s="8">
        <v>20</v>
      </c>
      <c r="D456" s="9" t="s">
        <v>950</v>
      </c>
      <c r="E456" s="8">
        <v>82</v>
      </c>
    </row>
    <row r="457" spans="2:5" ht="15" x14ac:dyDescent="0.25">
      <c r="B457" s="8">
        <v>1300</v>
      </c>
      <c r="C457" s="8">
        <v>30</v>
      </c>
      <c r="D457" s="9" t="s">
        <v>970</v>
      </c>
      <c r="E457" s="8">
        <v>83</v>
      </c>
    </row>
    <row r="458" spans="2:5" ht="15" x14ac:dyDescent="0.25">
      <c r="B458" s="8">
        <v>1300</v>
      </c>
      <c r="C458" s="8">
        <v>40</v>
      </c>
      <c r="D458" s="9" t="s">
        <v>1130</v>
      </c>
      <c r="E458" s="8">
        <v>84</v>
      </c>
    </row>
    <row r="459" spans="2:5" ht="15" x14ac:dyDescent="0.25">
      <c r="B459" s="8">
        <v>1300</v>
      </c>
      <c r="C459" s="8">
        <v>50</v>
      </c>
      <c r="D459" s="9" t="s">
        <v>1130</v>
      </c>
      <c r="E459" s="8">
        <v>85</v>
      </c>
    </row>
    <row r="460" spans="2:5" ht="30" x14ac:dyDescent="0.25">
      <c r="B460" s="8">
        <v>1300</v>
      </c>
      <c r="C460" s="8">
        <v>60</v>
      </c>
      <c r="D460" s="9" t="s">
        <v>1124</v>
      </c>
      <c r="E460" s="8">
        <v>86</v>
      </c>
    </row>
    <row r="461" spans="2:5" ht="15" x14ac:dyDescent="0.25">
      <c r="B461" s="8">
        <v>1300</v>
      </c>
      <c r="C461" s="8">
        <v>70</v>
      </c>
      <c r="D461" s="9" t="s">
        <v>724</v>
      </c>
      <c r="E461" s="8">
        <v>87</v>
      </c>
    </row>
    <row r="462" spans="2:5" ht="45" x14ac:dyDescent="0.25">
      <c r="B462" s="8">
        <v>1300</v>
      </c>
      <c r="C462" s="8">
        <v>80</v>
      </c>
      <c r="D462" s="9" t="s">
        <v>1113</v>
      </c>
      <c r="E462" s="8">
        <v>88</v>
      </c>
    </row>
    <row r="463" spans="2:5" ht="15" x14ac:dyDescent="0.25">
      <c r="B463" s="8">
        <v>1300</v>
      </c>
      <c r="C463" s="8">
        <v>90</v>
      </c>
      <c r="D463" s="9" t="s">
        <v>1134</v>
      </c>
      <c r="E463" s="8">
        <v>89</v>
      </c>
    </row>
    <row r="464" spans="2:5" ht="15" x14ac:dyDescent="0.25">
      <c r="B464" s="8">
        <v>1300</v>
      </c>
      <c r="C464" s="8">
        <v>100</v>
      </c>
      <c r="D464" s="9" t="s">
        <v>1110</v>
      </c>
      <c r="E464" s="8">
        <v>90</v>
      </c>
    </row>
    <row r="465" spans="2:5" ht="15" x14ac:dyDescent="0.25">
      <c r="B465" s="8">
        <v>1300</v>
      </c>
      <c r="C465" s="8">
        <v>110</v>
      </c>
      <c r="D465" s="9" t="s">
        <v>876</v>
      </c>
      <c r="E465" s="8">
        <v>91</v>
      </c>
    </row>
    <row r="466" spans="2:5" ht="15" x14ac:dyDescent="0.25">
      <c r="B466" s="8">
        <v>1300</v>
      </c>
      <c r="C466" s="8">
        <v>120</v>
      </c>
      <c r="D466" s="9" t="s">
        <v>878</v>
      </c>
      <c r="E466" s="8">
        <v>92</v>
      </c>
    </row>
    <row r="467" spans="2:5" ht="15" x14ac:dyDescent="0.25">
      <c r="B467" s="8">
        <v>1300</v>
      </c>
      <c r="C467" s="8">
        <v>130</v>
      </c>
      <c r="D467" s="9" t="s">
        <v>731</v>
      </c>
      <c r="E467" s="8">
        <v>93</v>
      </c>
    </row>
    <row r="468" spans="2:5" ht="30" x14ac:dyDescent="0.25">
      <c r="B468" s="8">
        <v>1300</v>
      </c>
      <c r="C468" s="8">
        <v>140</v>
      </c>
      <c r="D468" s="9" t="s">
        <v>1010</v>
      </c>
      <c r="E468" s="8">
        <v>94</v>
      </c>
    </row>
    <row r="469" spans="2:5" ht="15" x14ac:dyDescent="0.25">
      <c r="B469" s="8">
        <v>1300</v>
      </c>
      <c r="C469" s="8">
        <v>150</v>
      </c>
      <c r="D469" s="9" t="s">
        <v>1056</v>
      </c>
      <c r="E469" s="8">
        <v>95</v>
      </c>
    </row>
    <row r="470" spans="2:5" ht="15" x14ac:dyDescent="0.25">
      <c r="B470" s="8">
        <v>1300</v>
      </c>
      <c r="C470" s="8">
        <v>160</v>
      </c>
      <c r="D470" s="9" t="s">
        <v>967</v>
      </c>
      <c r="E470" s="8">
        <v>96</v>
      </c>
    </row>
    <row r="471" spans="2:5" ht="15" x14ac:dyDescent="0.25">
      <c r="B471" s="8">
        <v>1300</v>
      </c>
      <c r="C471" s="8">
        <v>170</v>
      </c>
      <c r="D471" s="9" t="s">
        <v>717</v>
      </c>
      <c r="E471" s="8">
        <v>97</v>
      </c>
    </row>
    <row r="472" spans="2:5" ht="15" x14ac:dyDescent="0.25">
      <c r="B472" s="8">
        <v>1300</v>
      </c>
      <c r="C472" s="8">
        <v>180</v>
      </c>
      <c r="D472" s="9" t="s">
        <v>951</v>
      </c>
      <c r="E472" s="8">
        <v>98</v>
      </c>
    </row>
    <row r="473" spans="2:5" ht="30" x14ac:dyDescent="0.25">
      <c r="B473" s="8">
        <v>1300</v>
      </c>
      <c r="C473" s="8">
        <v>190</v>
      </c>
      <c r="D473" s="9" t="s">
        <v>821</v>
      </c>
      <c r="E473" s="8">
        <v>99</v>
      </c>
    </row>
    <row r="474" spans="2:5" ht="15" x14ac:dyDescent="0.25">
      <c r="B474" s="8">
        <v>1300</v>
      </c>
      <c r="C474" s="8">
        <v>200</v>
      </c>
      <c r="D474" s="9" t="s">
        <v>861</v>
      </c>
      <c r="E474" s="8">
        <v>100</v>
      </c>
    </row>
    <row r="475" spans="2:5" ht="15" x14ac:dyDescent="0.25">
      <c r="B475" s="8">
        <v>1300</v>
      </c>
      <c r="C475" s="8">
        <v>210</v>
      </c>
      <c r="D475" s="9" t="s">
        <v>1166</v>
      </c>
      <c r="E475" s="8">
        <v>101</v>
      </c>
    </row>
    <row r="476" spans="2:5" ht="30" x14ac:dyDescent="0.25">
      <c r="B476" s="8">
        <v>1300</v>
      </c>
      <c r="C476" s="8">
        <v>220</v>
      </c>
      <c r="D476" s="9" t="s">
        <v>730</v>
      </c>
      <c r="E476" s="8">
        <v>102</v>
      </c>
    </row>
    <row r="477" spans="2:5" ht="15" x14ac:dyDescent="0.25">
      <c r="B477" s="8">
        <v>1300</v>
      </c>
      <c r="C477" s="8">
        <v>230</v>
      </c>
      <c r="D477" s="9" t="s">
        <v>898</v>
      </c>
      <c r="E477" s="8">
        <v>103</v>
      </c>
    </row>
    <row r="478" spans="2:5" ht="15" x14ac:dyDescent="0.25">
      <c r="B478" s="8">
        <v>1300</v>
      </c>
      <c r="C478" s="8">
        <v>240</v>
      </c>
      <c r="D478" s="9" t="s">
        <v>968</v>
      </c>
      <c r="E478" s="8">
        <v>104</v>
      </c>
    </row>
    <row r="479" spans="2:5" ht="15" x14ac:dyDescent="0.25">
      <c r="B479" s="8">
        <v>1300</v>
      </c>
      <c r="C479" s="8">
        <v>250</v>
      </c>
      <c r="D479" s="9" t="s">
        <v>877</v>
      </c>
      <c r="E479" s="8">
        <v>105</v>
      </c>
    </row>
    <row r="480" spans="2:5" ht="15" x14ac:dyDescent="0.25">
      <c r="B480" s="8">
        <v>1300</v>
      </c>
      <c r="C480" s="8">
        <v>260</v>
      </c>
      <c r="D480" s="9" t="s">
        <v>949</v>
      </c>
      <c r="E480" s="8">
        <v>106</v>
      </c>
    </row>
    <row r="481" spans="2:5" ht="15" x14ac:dyDescent="0.25">
      <c r="B481" s="8">
        <v>1300</v>
      </c>
      <c r="C481" s="8">
        <v>270</v>
      </c>
      <c r="D481" s="9" t="s">
        <v>1129</v>
      </c>
      <c r="E481" s="8">
        <v>107</v>
      </c>
    </row>
    <row r="482" spans="2:5" ht="15" x14ac:dyDescent="0.25">
      <c r="B482" s="8">
        <v>1300</v>
      </c>
      <c r="C482" s="8">
        <v>280</v>
      </c>
      <c r="D482" s="9" t="s">
        <v>719</v>
      </c>
      <c r="E482" s="8">
        <v>108</v>
      </c>
    </row>
    <row r="483" spans="2:5" ht="30" x14ac:dyDescent="0.25">
      <c r="B483" s="8">
        <v>1300</v>
      </c>
      <c r="C483" s="8">
        <v>290</v>
      </c>
      <c r="D483" s="9" t="s">
        <v>1117</v>
      </c>
      <c r="E483" s="8">
        <v>109</v>
      </c>
    </row>
    <row r="484" spans="2:5" ht="30" x14ac:dyDescent="0.25">
      <c r="B484" s="8">
        <v>1300</v>
      </c>
      <c r="C484" s="8">
        <v>300</v>
      </c>
      <c r="D484" s="9" t="s">
        <v>1111</v>
      </c>
      <c r="E484" s="8">
        <v>110</v>
      </c>
    </row>
    <row r="485" spans="2:5" ht="15" x14ac:dyDescent="0.25">
      <c r="B485" s="8">
        <v>1400</v>
      </c>
      <c r="C485" s="8">
        <v>10</v>
      </c>
      <c r="D485" s="9" t="s">
        <v>1115</v>
      </c>
      <c r="E485" s="8">
        <v>111</v>
      </c>
    </row>
    <row r="486" spans="2:5" ht="15" x14ac:dyDescent="0.25">
      <c r="B486" s="8">
        <v>1400</v>
      </c>
      <c r="C486" s="8">
        <v>20</v>
      </c>
      <c r="D486" s="9" t="s">
        <v>1127</v>
      </c>
      <c r="E486" s="8">
        <v>112</v>
      </c>
    </row>
    <row r="487" spans="2:5" ht="15" x14ac:dyDescent="0.25">
      <c r="B487" s="8">
        <v>1400</v>
      </c>
      <c r="C487" s="8">
        <v>30</v>
      </c>
      <c r="D487" s="9" t="s">
        <v>714</v>
      </c>
      <c r="E487" s="8">
        <v>113</v>
      </c>
    </row>
    <row r="488" spans="2:5" ht="15" x14ac:dyDescent="0.25">
      <c r="B488" s="8">
        <v>1400</v>
      </c>
      <c r="C488" s="8">
        <v>40</v>
      </c>
      <c r="D488" s="9" t="s">
        <v>965</v>
      </c>
      <c r="E488" s="8">
        <v>114</v>
      </c>
    </row>
    <row r="489" spans="2:5" ht="15" x14ac:dyDescent="0.25">
      <c r="B489" s="8">
        <v>1400</v>
      </c>
      <c r="C489" s="8">
        <v>50</v>
      </c>
      <c r="D489" s="9" t="s">
        <v>879</v>
      </c>
      <c r="E489" s="8">
        <v>115</v>
      </c>
    </row>
    <row r="490" spans="2:5" ht="15" x14ac:dyDescent="0.25">
      <c r="B490" s="8">
        <v>1400</v>
      </c>
      <c r="C490" s="8">
        <v>60</v>
      </c>
      <c r="D490" s="9" t="s">
        <v>942</v>
      </c>
      <c r="E490" s="8">
        <v>116</v>
      </c>
    </row>
    <row r="491" spans="2:5" ht="15" x14ac:dyDescent="0.25">
      <c r="B491" s="8">
        <v>1400</v>
      </c>
      <c r="C491" s="8">
        <v>70</v>
      </c>
      <c r="D491" s="9" t="s">
        <v>842</v>
      </c>
      <c r="E491" s="8">
        <v>117</v>
      </c>
    </row>
    <row r="492" spans="2:5" ht="15" x14ac:dyDescent="0.25">
      <c r="B492" s="8">
        <v>1400</v>
      </c>
      <c r="C492" s="8">
        <v>80</v>
      </c>
      <c r="D492" s="9" t="s">
        <v>1126</v>
      </c>
      <c r="E492" s="8">
        <v>118</v>
      </c>
    </row>
    <row r="493" spans="2:5" ht="15" x14ac:dyDescent="0.25">
      <c r="B493" s="8">
        <v>1400</v>
      </c>
      <c r="C493" s="8">
        <v>90</v>
      </c>
      <c r="D493" s="9" t="s">
        <v>899</v>
      </c>
      <c r="E493" s="8">
        <v>119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defaultColWidth="11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711</v>
      </c>
      <c r="L1" t="s">
        <v>712</v>
      </c>
    </row>
    <row r="2" spans="1:12" x14ac:dyDescent="0.2">
      <c r="A2" t="s">
        <v>410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692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698</v>
      </c>
      <c r="L3" t="s">
        <v>4</v>
      </c>
    </row>
    <row r="4" spans="1:12" x14ac:dyDescent="0.2">
      <c r="A4" t="s">
        <v>378</v>
      </c>
      <c r="B4" t="s">
        <v>331</v>
      </c>
      <c r="C4" t="s">
        <v>332</v>
      </c>
      <c r="D4" t="s">
        <v>379</v>
      </c>
      <c r="E4" t="str">
        <f t="shared" si="0"/>
        <v xml:space="preserve">CASADO </v>
      </c>
      <c r="K4" t="s">
        <v>636</v>
      </c>
      <c r="L4" t="s">
        <v>4</v>
      </c>
    </row>
    <row r="5" spans="1:12" x14ac:dyDescent="0.2">
      <c r="A5" t="s">
        <v>447</v>
      </c>
      <c r="B5" t="s">
        <v>346</v>
      </c>
      <c r="C5" t="s">
        <v>328</v>
      </c>
      <c r="D5" t="s">
        <v>448</v>
      </c>
      <c r="E5" t="str">
        <f t="shared" si="0"/>
        <v xml:space="preserve">GASOLINA </v>
      </c>
      <c r="K5" t="s">
        <v>632</v>
      </c>
      <c r="L5" t="s">
        <v>4</v>
      </c>
    </row>
    <row r="6" spans="1:12" x14ac:dyDescent="0.2">
      <c r="A6" t="s">
        <v>368</v>
      </c>
      <c r="B6" t="s">
        <v>320</v>
      </c>
      <c r="C6" t="s">
        <v>369</v>
      </c>
      <c r="D6" t="s">
        <v>370</v>
      </c>
      <c r="E6" t="str">
        <f t="shared" si="0"/>
        <v xml:space="preserve">Esponja </v>
      </c>
      <c r="K6" t="s">
        <v>637</v>
      </c>
      <c r="L6" t="s">
        <v>4</v>
      </c>
    </row>
    <row r="7" spans="1:12" x14ac:dyDescent="0.2">
      <c r="A7" t="s">
        <v>374</v>
      </c>
      <c r="B7" t="s">
        <v>338</v>
      </c>
      <c r="C7" t="s">
        <v>328</v>
      </c>
      <c r="D7" t="s">
        <v>375</v>
      </c>
      <c r="E7" t="str">
        <f t="shared" si="0"/>
        <v xml:space="preserve">Super </v>
      </c>
      <c r="K7" t="s">
        <v>633</v>
      </c>
      <c r="L7" t="s">
        <v>4</v>
      </c>
    </row>
    <row r="8" spans="1:12" x14ac:dyDescent="0.2">
      <c r="A8" t="s">
        <v>376</v>
      </c>
      <c r="B8" t="s">
        <v>339</v>
      </c>
      <c r="C8" t="s">
        <v>328</v>
      </c>
      <c r="D8" t="s">
        <v>377</v>
      </c>
      <c r="E8" t="str">
        <f t="shared" si="0"/>
        <v xml:space="preserve">Super </v>
      </c>
      <c r="K8" t="s">
        <v>640</v>
      </c>
      <c r="L8" t="s">
        <v>4</v>
      </c>
    </row>
    <row r="9" spans="1:12" x14ac:dyDescent="0.2">
      <c r="A9" t="s">
        <v>557</v>
      </c>
      <c r="B9" t="s">
        <v>354</v>
      </c>
      <c r="C9" t="s">
        <v>560</v>
      </c>
      <c r="D9" t="s">
        <v>561</v>
      </c>
      <c r="E9" t="str">
        <f t="shared" si="0"/>
        <v xml:space="preserve">334911,Jet </v>
      </c>
      <c r="K9" t="s">
        <v>639</v>
      </c>
      <c r="L9" t="s">
        <v>4</v>
      </c>
    </row>
    <row r="10" spans="1:12" x14ac:dyDescent="0.2">
      <c r="A10" t="s">
        <v>556</v>
      </c>
      <c r="B10" t="s">
        <v>354</v>
      </c>
      <c r="C10" t="s">
        <v>551</v>
      </c>
      <c r="D10" t="s">
        <v>552</v>
      </c>
      <c r="E10" t="str">
        <f t="shared" si="0"/>
        <v xml:space="preserve">418793 </v>
      </c>
      <c r="K10" t="s">
        <v>660</v>
      </c>
      <c r="L10" t="s">
        <v>4</v>
      </c>
    </row>
    <row r="11" spans="1:12" x14ac:dyDescent="0.2">
      <c r="A11" t="s">
        <v>473</v>
      </c>
      <c r="B11" t="s">
        <v>348</v>
      </c>
      <c r="C11" t="s">
        <v>328</v>
      </c>
      <c r="D11" t="s">
        <v>474</v>
      </c>
      <c r="E11" t="str">
        <f t="shared" si="0"/>
        <v xml:space="preserve">Super </v>
      </c>
      <c r="K11" t="s">
        <v>670</v>
      </c>
      <c r="L11" t="s">
        <v>713</v>
      </c>
    </row>
    <row r="12" spans="1:12" x14ac:dyDescent="0.2">
      <c r="A12" t="s">
        <v>475</v>
      </c>
      <c r="B12" t="s">
        <v>348</v>
      </c>
      <c r="C12" t="s">
        <v>328</v>
      </c>
      <c r="D12" t="s">
        <v>476</v>
      </c>
      <c r="E12" t="str">
        <f t="shared" si="0"/>
        <v xml:space="preserve">Super </v>
      </c>
      <c r="K12" t="s">
        <v>690</v>
      </c>
      <c r="L12" t="s">
        <v>713</v>
      </c>
    </row>
    <row r="13" spans="1:12" x14ac:dyDescent="0.2">
      <c r="A13" t="s">
        <v>363</v>
      </c>
      <c r="B13" t="s">
        <v>320</v>
      </c>
      <c r="C13" t="s">
        <v>366</v>
      </c>
      <c r="D13" t="s">
        <v>367</v>
      </c>
      <c r="E13" t="str">
        <f t="shared" si="0"/>
        <v xml:space="preserve">Palillos </v>
      </c>
      <c r="K13" t="s">
        <v>666</v>
      </c>
      <c r="L13" t="s">
        <v>713</v>
      </c>
    </row>
    <row r="14" spans="1:12" x14ac:dyDescent="0.2">
      <c r="A14" t="s">
        <v>607</v>
      </c>
      <c r="B14" t="s">
        <v>358</v>
      </c>
      <c r="C14" t="s">
        <v>605</v>
      </c>
      <c r="D14" t="s">
        <v>608</v>
      </c>
      <c r="E14" t="str">
        <f t="shared" si="0"/>
        <v xml:space="preserve">BOLSA </v>
      </c>
      <c r="K14" t="s">
        <v>648</v>
      </c>
      <c r="L14" t="s">
        <v>713</v>
      </c>
    </row>
    <row r="15" spans="1:12" x14ac:dyDescent="0.2">
      <c r="A15" t="s">
        <v>557</v>
      </c>
      <c r="B15" t="s">
        <v>354</v>
      </c>
      <c r="C15" t="s">
        <v>416</v>
      </c>
      <c r="D15" t="s">
        <v>559</v>
      </c>
      <c r="E15" t="str">
        <f t="shared" si="0"/>
        <v xml:space="preserve">152519 </v>
      </c>
      <c r="K15" t="s">
        <v>671</v>
      </c>
      <c r="L15" t="s">
        <v>713</v>
      </c>
    </row>
    <row r="16" spans="1:12" x14ac:dyDescent="0.2">
      <c r="A16" t="s">
        <v>604</v>
      </c>
      <c r="B16" t="s">
        <v>358</v>
      </c>
      <c r="C16" t="s">
        <v>605</v>
      </c>
      <c r="D16" t="s">
        <v>606</v>
      </c>
      <c r="E16" t="str">
        <f t="shared" si="0"/>
        <v xml:space="preserve">BOLSA </v>
      </c>
      <c r="K16" t="s">
        <v>691</v>
      </c>
      <c r="L16" t="s">
        <v>713</v>
      </c>
    </row>
    <row r="17" spans="1:11" x14ac:dyDescent="0.2">
      <c r="A17" t="s">
        <v>553</v>
      </c>
      <c r="B17" t="s">
        <v>354</v>
      </c>
      <c r="C17" t="s">
        <v>554</v>
      </c>
      <c r="D17" t="s">
        <v>555</v>
      </c>
      <c r="E17" t="str">
        <f t="shared" si="0"/>
        <v xml:space="preserve">414332 </v>
      </c>
      <c r="K17" t="s">
        <v>695</v>
      </c>
    </row>
    <row r="18" spans="1:11" x14ac:dyDescent="0.2">
      <c r="A18" t="s">
        <v>363</v>
      </c>
      <c r="B18" t="s">
        <v>320</v>
      </c>
      <c r="C18" t="s">
        <v>364</v>
      </c>
      <c r="D18" t="s">
        <v>365</v>
      </c>
      <c r="E18" t="str">
        <f t="shared" si="0"/>
        <v xml:space="preserve">PAJILLAS </v>
      </c>
      <c r="K18" t="s">
        <v>687</v>
      </c>
    </row>
    <row r="19" spans="1:11" x14ac:dyDescent="0.2">
      <c r="A19" t="s">
        <v>607</v>
      </c>
      <c r="B19" t="s">
        <v>358</v>
      </c>
      <c r="C19" t="s">
        <v>605</v>
      </c>
      <c r="D19" t="s">
        <v>609</v>
      </c>
      <c r="E19" t="str">
        <f t="shared" si="0"/>
        <v xml:space="preserve">BOLSA </v>
      </c>
      <c r="K19" t="s">
        <v>635</v>
      </c>
    </row>
    <row r="20" spans="1:11" x14ac:dyDescent="0.2">
      <c r="A20" t="s">
        <v>607</v>
      </c>
      <c r="B20" t="s">
        <v>358</v>
      </c>
      <c r="C20" t="s">
        <v>605</v>
      </c>
      <c r="D20" t="s">
        <v>610</v>
      </c>
      <c r="E20" t="str">
        <f t="shared" si="0"/>
        <v xml:space="preserve">BOLSA </v>
      </c>
      <c r="K20" t="s">
        <v>656</v>
      </c>
    </row>
    <row r="21" spans="1:11" x14ac:dyDescent="0.2">
      <c r="A21" t="s">
        <v>557</v>
      </c>
      <c r="B21" t="s">
        <v>354</v>
      </c>
      <c r="C21" t="s">
        <v>369</v>
      </c>
      <c r="D21" t="s">
        <v>558</v>
      </c>
      <c r="E21" t="str">
        <f t="shared" si="0"/>
        <v xml:space="preserve">84577 </v>
      </c>
      <c r="K21" t="s">
        <v>701</v>
      </c>
    </row>
    <row r="22" spans="1:11" x14ac:dyDescent="0.2">
      <c r="A22" t="s">
        <v>562</v>
      </c>
      <c r="B22" t="s">
        <v>354</v>
      </c>
      <c r="C22" t="s">
        <v>563</v>
      </c>
      <c r="D22" t="s">
        <v>564</v>
      </c>
      <c r="E22" t="str">
        <f t="shared" si="0"/>
        <v xml:space="preserve">815600 </v>
      </c>
      <c r="K22" t="s">
        <v>645</v>
      </c>
    </row>
    <row r="23" spans="1:11" x14ac:dyDescent="0.2">
      <c r="A23" t="s">
        <v>360</v>
      </c>
      <c r="B23" t="s">
        <v>337</v>
      </c>
      <c r="C23" t="s">
        <v>361</v>
      </c>
      <c r="D23" t="s">
        <v>362</v>
      </c>
      <c r="E23" t="str">
        <f t="shared" si="0"/>
        <v xml:space="preserve">Mensual </v>
      </c>
      <c r="K23" t="s">
        <v>628</v>
      </c>
    </row>
    <row r="24" spans="1:11" x14ac:dyDescent="0.2">
      <c r="A24" t="s">
        <v>487</v>
      </c>
      <c r="B24" t="s">
        <v>349</v>
      </c>
      <c r="C24" t="s">
        <v>492</v>
      </c>
      <c r="D24" t="s">
        <v>497</v>
      </c>
      <c r="E24" t="str">
        <f t="shared" si="0"/>
        <v xml:space="preserve">PALETA </v>
      </c>
      <c r="K24" t="s">
        <v>659</v>
      </c>
    </row>
    <row r="25" spans="1:11" x14ac:dyDescent="0.2">
      <c r="A25" t="s">
        <v>570</v>
      </c>
      <c r="B25" t="s">
        <v>355</v>
      </c>
      <c r="C25" t="s">
        <v>565</v>
      </c>
      <c r="D25" t="s">
        <v>567</v>
      </c>
      <c r="E25" t="str">
        <f t="shared" si="0"/>
        <v xml:space="preserve">ROMA </v>
      </c>
      <c r="K25" t="s">
        <v>694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672</v>
      </c>
    </row>
    <row r="27" spans="1:11" x14ac:dyDescent="0.2">
      <c r="A27" t="s">
        <v>396</v>
      </c>
      <c r="B27" t="s">
        <v>341</v>
      </c>
      <c r="C27" t="s">
        <v>397</v>
      </c>
      <c r="D27" t="s">
        <v>398</v>
      </c>
      <c r="E27" t="str">
        <f t="shared" si="0"/>
        <v xml:space="preserve">CAFE </v>
      </c>
      <c r="K27" t="s">
        <v>664</v>
      </c>
    </row>
    <row r="28" spans="1:11" x14ac:dyDescent="0.2">
      <c r="A28" t="s">
        <v>570</v>
      </c>
      <c r="B28" t="s">
        <v>355</v>
      </c>
      <c r="C28" t="s">
        <v>565</v>
      </c>
      <c r="D28" t="s">
        <v>571</v>
      </c>
      <c r="E28" t="str">
        <f t="shared" si="0"/>
        <v xml:space="preserve">ROMA </v>
      </c>
      <c r="K28" t="s">
        <v>679</v>
      </c>
    </row>
    <row r="29" spans="1:11" x14ac:dyDescent="0.2">
      <c r="A29" t="s">
        <v>586</v>
      </c>
      <c r="B29" t="s">
        <v>355</v>
      </c>
      <c r="C29" t="s">
        <v>565</v>
      </c>
      <c r="D29" t="s">
        <v>589</v>
      </c>
      <c r="E29" t="str">
        <f t="shared" si="0"/>
        <v xml:space="preserve">LUCEMA </v>
      </c>
      <c r="K29" t="s">
        <v>657</v>
      </c>
    </row>
    <row r="30" spans="1:11" x14ac:dyDescent="0.2">
      <c r="A30" t="s">
        <v>487</v>
      </c>
      <c r="B30" t="s">
        <v>349</v>
      </c>
      <c r="C30" t="s">
        <v>490</v>
      </c>
      <c r="D30" t="s">
        <v>491</v>
      </c>
      <c r="E30" t="str">
        <f t="shared" si="0"/>
        <v xml:space="preserve">CURITAS </v>
      </c>
      <c r="K30" t="s">
        <v>682</v>
      </c>
    </row>
    <row r="31" spans="1:11" x14ac:dyDescent="0.2">
      <c r="A31" t="s">
        <v>570</v>
      </c>
      <c r="B31" t="s">
        <v>355</v>
      </c>
      <c r="C31" t="s">
        <v>565</v>
      </c>
      <c r="D31" t="s">
        <v>573</v>
      </c>
      <c r="E31" t="str">
        <f t="shared" si="0"/>
        <v xml:space="preserve">LUCEMA </v>
      </c>
      <c r="K31" t="s">
        <v>663</v>
      </c>
    </row>
    <row r="32" spans="1:11" x14ac:dyDescent="0.2">
      <c r="A32" t="s">
        <v>390</v>
      </c>
      <c r="B32" t="s">
        <v>341</v>
      </c>
      <c r="C32" t="s">
        <v>384</v>
      </c>
      <c r="D32" t="s">
        <v>391</v>
      </c>
      <c r="E32" t="str">
        <f t="shared" si="0"/>
        <v xml:space="preserve">ARROZ </v>
      </c>
      <c r="K32" t="s">
        <v>647</v>
      </c>
    </row>
    <row r="33" spans="1:11" x14ac:dyDescent="0.2">
      <c r="A33" t="s">
        <v>570</v>
      </c>
      <c r="B33" t="s">
        <v>355</v>
      </c>
      <c r="C33" t="s">
        <v>565</v>
      </c>
      <c r="D33" t="s">
        <v>572</v>
      </c>
      <c r="E33" t="str">
        <f t="shared" si="0"/>
        <v xml:space="preserve">ROMA </v>
      </c>
      <c r="K33" t="s">
        <v>693</v>
      </c>
    </row>
    <row r="34" spans="1:11" x14ac:dyDescent="0.2">
      <c r="B34" t="s">
        <v>342</v>
      </c>
      <c r="C34" t="s">
        <v>403</v>
      </c>
      <c r="D34" t="s">
        <v>405</v>
      </c>
      <c r="E34" t="str">
        <f t="shared" si="0"/>
        <v xml:space="preserve">Q.CREMA </v>
      </c>
      <c r="K34" t="s">
        <v>689</v>
      </c>
    </row>
    <row r="35" spans="1:11" x14ac:dyDescent="0.2">
      <c r="B35" t="s">
        <v>342</v>
      </c>
      <c r="C35" t="s">
        <v>406</v>
      </c>
      <c r="D35" t="s">
        <v>407</v>
      </c>
      <c r="E35" t="str">
        <f t="shared" si="0"/>
        <v xml:space="preserve">LACTOCREMA </v>
      </c>
      <c r="K35" t="s">
        <v>630</v>
      </c>
    </row>
    <row r="36" spans="1:11" x14ac:dyDescent="0.2">
      <c r="B36" t="s">
        <v>353</v>
      </c>
      <c r="C36" t="s">
        <v>537</v>
      </c>
      <c r="D36" t="s">
        <v>540</v>
      </c>
      <c r="E36" t="str">
        <f t="shared" si="0"/>
        <v xml:space="preserve">RTD </v>
      </c>
      <c r="K36" t="s">
        <v>662</v>
      </c>
    </row>
    <row r="37" spans="1:11" x14ac:dyDescent="0.2">
      <c r="A37" t="s">
        <v>586</v>
      </c>
      <c r="B37" t="s">
        <v>355</v>
      </c>
      <c r="C37" t="s">
        <v>565</v>
      </c>
      <c r="D37" t="s">
        <v>581</v>
      </c>
      <c r="E37" t="str">
        <f t="shared" si="0"/>
        <v xml:space="preserve">LUCEMA </v>
      </c>
      <c r="K37" t="s">
        <v>665</v>
      </c>
    </row>
    <row r="38" spans="1:11" x14ac:dyDescent="0.2">
      <c r="A38" t="s">
        <v>570</v>
      </c>
      <c r="B38" t="s">
        <v>355</v>
      </c>
      <c r="C38" t="s">
        <v>565</v>
      </c>
      <c r="D38" t="s">
        <v>566</v>
      </c>
      <c r="E38" t="str">
        <f t="shared" si="0"/>
        <v xml:space="preserve">ROMA </v>
      </c>
      <c r="K38" t="s">
        <v>629</v>
      </c>
    </row>
    <row r="39" spans="1:11" x14ac:dyDescent="0.2">
      <c r="B39" t="s">
        <v>342</v>
      </c>
      <c r="C39" t="s">
        <v>401</v>
      </c>
      <c r="D39" t="s">
        <v>402</v>
      </c>
      <c r="E39" t="str">
        <f t="shared" si="0"/>
        <v xml:space="preserve">HEL </v>
      </c>
      <c r="K39" t="s">
        <v>673</v>
      </c>
    </row>
    <row r="40" spans="1:11" x14ac:dyDescent="0.2">
      <c r="B40" t="s">
        <v>342</v>
      </c>
      <c r="C40" t="s">
        <v>403</v>
      </c>
      <c r="D40" t="s">
        <v>404</v>
      </c>
      <c r="E40" t="str">
        <f t="shared" si="0"/>
        <v xml:space="preserve">QUESO </v>
      </c>
      <c r="K40" t="s">
        <v>674</v>
      </c>
    </row>
    <row r="41" spans="1:11" x14ac:dyDescent="0.2">
      <c r="B41" t="s">
        <v>342</v>
      </c>
      <c r="C41" t="s">
        <v>408</v>
      </c>
      <c r="D41" t="s">
        <v>409</v>
      </c>
      <c r="E41" t="str">
        <f t="shared" si="0"/>
        <v xml:space="preserve">NAT. </v>
      </c>
      <c r="K41" t="s">
        <v>704</v>
      </c>
    </row>
    <row r="42" spans="1:11" x14ac:dyDescent="0.2">
      <c r="A42" t="s">
        <v>420</v>
      </c>
      <c r="B42" t="s">
        <v>344</v>
      </c>
      <c r="C42" t="s">
        <v>421</v>
      </c>
      <c r="D42" t="s">
        <v>422</v>
      </c>
      <c r="E42" t="str">
        <f t="shared" si="0"/>
        <v xml:space="preserve">SANI </v>
      </c>
      <c r="K42" t="s">
        <v>652</v>
      </c>
    </row>
    <row r="43" spans="1:11" x14ac:dyDescent="0.2">
      <c r="A43" t="s">
        <v>368</v>
      </c>
      <c r="B43" t="s">
        <v>320</v>
      </c>
      <c r="C43" t="s">
        <v>371</v>
      </c>
      <c r="D43" t="s">
        <v>372</v>
      </c>
      <c r="E43" t="str">
        <f t="shared" si="0"/>
        <v xml:space="preserve">Bolsas </v>
      </c>
      <c r="K43" t="s">
        <v>700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650</v>
      </c>
    </row>
    <row r="45" spans="1:11" x14ac:dyDescent="0.2">
      <c r="A45" t="s">
        <v>368</v>
      </c>
      <c r="B45" t="s">
        <v>320</v>
      </c>
      <c r="C45" t="s">
        <v>371</v>
      </c>
      <c r="D45" t="s">
        <v>373</v>
      </c>
      <c r="E45" t="str">
        <f t="shared" si="0"/>
        <v xml:space="preserve">Bolsas </v>
      </c>
      <c r="K45" t="s">
        <v>661</v>
      </c>
    </row>
    <row r="46" spans="1:11" x14ac:dyDescent="0.2">
      <c r="B46" t="s">
        <v>353</v>
      </c>
      <c r="C46" t="s">
        <v>545</v>
      </c>
      <c r="D46" t="s">
        <v>546</v>
      </c>
      <c r="E46" t="str">
        <f t="shared" si="0"/>
        <v xml:space="preserve">TORT </v>
      </c>
      <c r="K46" t="s">
        <v>696</v>
      </c>
    </row>
    <row r="47" spans="1:11" x14ac:dyDescent="0.2">
      <c r="A47" t="s">
        <v>594</v>
      </c>
      <c r="B47" t="s">
        <v>356</v>
      </c>
      <c r="C47" t="s">
        <v>596</v>
      </c>
      <c r="D47" t="s">
        <v>597</v>
      </c>
      <c r="E47" t="str">
        <f t="shared" si="0"/>
        <v xml:space="preserve">CB1 </v>
      </c>
      <c r="K47" t="s">
        <v>646</v>
      </c>
    </row>
    <row r="48" spans="1:11" x14ac:dyDescent="0.2">
      <c r="A48" t="s">
        <v>598</v>
      </c>
      <c r="B48" t="s">
        <v>356</v>
      </c>
      <c r="C48" t="s">
        <v>599</v>
      </c>
      <c r="D48" t="s">
        <v>600</v>
      </c>
      <c r="E48" t="str">
        <f t="shared" si="0"/>
        <v xml:space="preserve">A9 </v>
      </c>
      <c r="K48" t="s">
        <v>669</v>
      </c>
    </row>
    <row r="49" spans="1:11" x14ac:dyDescent="0.2">
      <c r="A49" t="s">
        <v>586</v>
      </c>
      <c r="B49" t="s">
        <v>355</v>
      </c>
      <c r="C49" t="s">
        <v>587</v>
      </c>
      <c r="D49" t="s">
        <v>588</v>
      </c>
      <c r="E49" t="str">
        <f t="shared" si="0"/>
        <v xml:space="preserve">ROMA </v>
      </c>
      <c r="K49" t="s">
        <v>677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676</v>
      </c>
    </row>
    <row r="51" spans="1:11" x14ac:dyDescent="0.2">
      <c r="A51" t="s">
        <v>601</v>
      </c>
      <c r="B51" t="s">
        <v>357</v>
      </c>
      <c r="C51" t="s">
        <v>602</v>
      </c>
      <c r="D51" t="s">
        <v>603</v>
      </c>
      <c r="E51" t="str">
        <f t="shared" si="0"/>
        <v xml:space="preserve">FRIJOL </v>
      </c>
      <c r="K51" t="s">
        <v>641</v>
      </c>
    </row>
    <row r="52" spans="1:11" x14ac:dyDescent="0.2">
      <c r="A52" t="s">
        <v>444</v>
      </c>
      <c r="B52" t="s">
        <v>345</v>
      </c>
      <c r="C52" t="s">
        <v>439</v>
      </c>
      <c r="D52" t="s">
        <v>445</v>
      </c>
      <c r="E52" t="str">
        <f t="shared" si="0"/>
        <v xml:space="preserve">Cuchara </v>
      </c>
      <c r="K52" t="s">
        <v>705</v>
      </c>
    </row>
    <row r="53" spans="1:11" x14ac:dyDescent="0.2">
      <c r="A53" t="s">
        <v>611</v>
      </c>
      <c r="B53" t="s">
        <v>359</v>
      </c>
      <c r="C53" t="s">
        <v>612</v>
      </c>
      <c r="D53" t="s">
        <v>613</v>
      </c>
      <c r="E53" t="str">
        <f t="shared" si="0"/>
        <v xml:space="preserve">Cloro </v>
      </c>
      <c r="K53" t="s">
        <v>708</v>
      </c>
    </row>
    <row r="54" spans="1:11" x14ac:dyDescent="0.2">
      <c r="A54" t="s">
        <v>611</v>
      </c>
      <c r="B54" t="s">
        <v>359</v>
      </c>
      <c r="C54" t="s">
        <v>612</v>
      </c>
      <c r="D54" t="s">
        <v>615</v>
      </c>
      <c r="E54" t="str">
        <f t="shared" si="0"/>
        <v xml:space="preserve">Cloro </v>
      </c>
      <c r="K54" t="s">
        <v>709</v>
      </c>
    </row>
    <row r="55" spans="1:11" x14ac:dyDescent="0.2">
      <c r="A55" t="s">
        <v>611</v>
      </c>
      <c r="B55" t="s">
        <v>359</v>
      </c>
      <c r="C55" t="s">
        <v>626</v>
      </c>
      <c r="D55" t="s">
        <v>627</v>
      </c>
      <c r="E55" t="str">
        <f t="shared" si="0"/>
        <v xml:space="preserve">Gancho </v>
      </c>
      <c r="K55" t="s">
        <v>710</v>
      </c>
    </row>
    <row r="56" spans="1:11" x14ac:dyDescent="0.2">
      <c r="A56" t="s">
        <v>415</v>
      </c>
      <c r="B56" t="s">
        <v>344</v>
      </c>
      <c r="C56" t="s">
        <v>416</v>
      </c>
      <c r="D56" t="s">
        <v>417</v>
      </c>
      <c r="E56" t="str">
        <f t="shared" si="0"/>
        <v xml:space="preserve">ACHIOTICO </v>
      </c>
      <c r="K56" t="s">
        <v>707</v>
      </c>
    </row>
    <row r="57" spans="1:11" x14ac:dyDescent="0.2">
      <c r="A57" t="s">
        <v>431</v>
      </c>
      <c r="B57" t="s">
        <v>303</v>
      </c>
      <c r="C57" t="s">
        <v>388</v>
      </c>
      <c r="D57" t="s">
        <v>432</v>
      </c>
      <c r="E57" t="str">
        <f t="shared" si="0"/>
        <v xml:space="preserve">SALSA </v>
      </c>
      <c r="K57" t="s">
        <v>706</v>
      </c>
    </row>
    <row r="58" spans="1:11" x14ac:dyDescent="0.2">
      <c r="A58" t="s">
        <v>487</v>
      </c>
      <c r="B58" t="s">
        <v>349</v>
      </c>
      <c r="C58" t="s">
        <v>495</v>
      </c>
      <c r="D58" t="s">
        <v>496</v>
      </c>
      <c r="E58" t="str">
        <f t="shared" si="0"/>
        <v xml:space="preserve">TANG </v>
      </c>
      <c r="K58" t="s">
        <v>654</v>
      </c>
    </row>
    <row r="59" spans="1:11" x14ac:dyDescent="0.2">
      <c r="A59" t="s">
        <v>396</v>
      </c>
      <c r="B59" t="s">
        <v>341</v>
      </c>
      <c r="C59" t="s">
        <v>399</v>
      </c>
      <c r="D59" t="s">
        <v>400</v>
      </c>
      <c r="E59" t="str">
        <f t="shared" si="0"/>
        <v xml:space="preserve">MAIZ </v>
      </c>
      <c r="K59" t="s">
        <v>680</v>
      </c>
    </row>
    <row r="60" spans="1:11" x14ac:dyDescent="0.2">
      <c r="B60" t="s">
        <v>353</v>
      </c>
      <c r="C60" t="s">
        <v>547</v>
      </c>
      <c r="D60" t="s">
        <v>548</v>
      </c>
      <c r="E60" t="str">
        <f t="shared" si="0"/>
        <v xml:space="preserve">TORT </v>
      </c>
      <c r="K60" t="s">
        <v>638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642</v>
      </c>
    </row>
    <row r="62" spans="1:11" x14ac:dyDescent="0.2">
      <c r="A62" t="s">
        <v>611</v>
      </c>
      <c r="B62" t="s">
        <v>359</v>
      </c>
      <c r="C62" t="s">
        <v>612</v>
      </c>
      <c r="D62" t="s">
        <v>614</v>
      </c>
      <c r="E62" t="str">
        <f t="shared" si="0"/>
        <v xml:space="preserve">Cloro </v>
      </c>
      <c r="K62" t="s">
        <v>634</v>
      </c>
    </row>
    <row r="63" spans="1:11" x14ac:dyDescent="0.2">
      <c r="A63" t="s">
        <v>583</v>
      </c>
      <c r="B63" t="s">
        <v>355</v>
      </c>
      <c r="C63" t="s">
        <v>584</v>
      </c>
      <c r="D63" t="s">
        <v>585</v>
      </c>
      <c r="E63" t="str">
        <f t="shared" si="0"/>
        <v xml:space="preserve">ROMA </v>
      </c>
      <c r="K63" t="s">
        <v>697</v>
      </c>
    </row>
    <row r="64" spans="1:11" x14ac:dyDescent="0.2">
      <c r="A64" t="s">
        <v>509</v>
      </c>
      <c r="B64" t="s">
        <v>351</v>
      </c>
      <c r="C64" t="s">
        <v>386</v>
      </c>
      <c r="D64" t="s">
        <v>510</v>
      </c>
      <c r="E64" t="str">
        <f t="shared" si="0"/>
        <v xml:space="preserve">AZUCAR </v>
      </c>
      <c r="K64" t="s">
        <v>686</v>
      </c>
    </row>
    <row r="65" spans="1:11" x14ac:dyDescent="0.2">
      <c r="A65" t="s">
        <v>511</v>
      </c>
      <c r="B65" t="s">
        <v>351</v>
      </c>
      <c r="C65" t="s">
        <v>386</v>
      </c>
      <c r="D65" t="s">
        <v>512</v>
      </c>
      <c r="E65" t="str">
        <f t="shared" si="0"/>
        <v xml:space="preserve">AZUCAR </v>
      </c>
      <c r="K65" t="s">
        <v>685</v>
      </c>
    </row>
    <row r="66" spans="1:11" x14ac:dyDescent="0.2">
      <c r="A66" t="s">
        <v>487</v>
      </c>
      <c r="B66" t="s">
        <v>349</v>
      </c>
      <c r="C66" t="s">
        <v>488</v>
      </c>
      <c r="D66" t="s">
        <v>489</v>
      </c>
      <c r="E66" t="str">
        <f t="shared" si="0"/>
        <v xml:space="preserve">CHICLE </v>
      </c>
      <c r="K66" t="s">
        <v>675</v>
      </c>
    </row>
    <row r="67" spans="1:11" x14ac:dyDescent="0.2">
      <c r="A67" t="s">
        <v>578</v>
      </c>
      <c r="B67" t="s">
        <v>355</v>
      </c>
      <c r="C67" t="s">
        <v>565</v>
      </c>
      <c r="D67" t="s">
        <v>582</v>
      </c>
      <c r="E67" t="str">
        <f t="shared" ref="E67:E130" si="1">IFERROR(LEFT(D67,FIND(" ",D67)),D67)</f>
        <v xml:space="preserve">LUCEMA </v>
      </c>
      <c r="K67" t="s">
        <v>644</v>
      </c>
    </row>
    <row r="68" spans="1:11" x14ac:dyDescent="0.2">
      <c r="A68" t="s">
        <v>380</v>
      </c>
      <c r="B68" t="s">
        <v>340</v>
      </c>
      <c r="C68" t="s">
        <v>381</v>
      </c>
      <c r="D68" t="s">
        <v>382</v>
      </c>
      <c r="E68" t="str">
        <f t="shared" si="1"/>
        <v xml:space="preserve">GDC </v>
      </c>
      <c r="K68" t="s">
        <v>683</v>
      </c>
    </row>
    <row r="69" spans="1:11" x14ac:dyDescent="0.2">
      <c r="A69" t="s">
        <v>527</v>
      </c>
      <c r="B69" t="s">
        <v>352</v>
      </c>
      <c r="C69" t="s">
        <v>384</v>
      </c>
      <c r="D69" t="s">
        <v>528</v>
      </c>
      <c r="E69" t="str">
        <f t="shared" si="1"/>
        <v xml:space="preserve">ARROZ </v>
      </c>
      <c r="K69" t="s">
        <v>649</v>
      </c>
    </row>
    <row r="70" spans="1:11" x14ac:dyDescent="0.2">
      <c r="A70" t="s">
        <v>423</v>
      </c>
      <c r="B70" t="s">
        <v>344</v>
      </c>
      <c r="C70" t="s">
        <v>416</v>
      </c>
      <c r="D70" t="s">
        <v>424</v>
      </c>
      <c r="E70" t="str">
        <f t="shared" si="1"/>
        <v xml:space="preserve">ACHIOTICO </v>
      </c>
      <c r="K70" t="s">
        <v>653</v>
      </c>
    </row>
    <row r="71" spans="1:11" x14ac:dyDescent="0.2">
      <c r="A71" t="s">
        <v>487</v>
      </c>
      <c r="B71" t="s">
        <v>349</v>
      </c>
      <c r="C71" t="s">
        <v>492</v>
      </c>
      <c r="D71" t="s">
        <v>493</v>
      </c>
      <c r="E71" t="str">
        <f t="shared" si="1"/>
        <v xml:space="preserve">HALLS </v>
      </c>
      <c r="K71" t="s">
        <v>643</v>
      </c>
    </row>
    <row r="72" spans="1:11" x14ac:dyDescent="0.2">
      <c r="A72" t="s">
        <v>487</v>
      </c>
      <c r="B72" t="s">
        <v>349</v>
      </c>
      <c r="C72" t="s">
        <v>304</v>
      </c>
      <c r="D72" t="s">
        <v>494</v>
      </c>
      <c r="E72" t="str">
        <f t="shared" si="1"/>
        <v xml:space="preserve">PAPAS </v>
      </c>
      <c r="K72" t="s">
        <v>651</v>
      </c>
    </row>
    <row r="73" spans="1:11" x14ac:dyDescent="0.2">
      <c r="A73" t="s">
        <v>487</v>
      </c>
      <c r="B73" t="s">
        <v>349</v>
      </c>
      <c r="C73" t="s">
        <v>399</v>
      </c>
      <c r="D73" t="s">
        <v>498</v>
      </c>
      <c r="E73" t="str">
        <f t="shared" si="1"/>
        <v xml:space="preserve">MAIZ </v>
      </c>
      <c r="K73" t="s">
        <v>681</v>
      </c>
    </row>
    <row r="74" spans="1:11" x14ac:dyDescent="0.2">
      <c r="A74" t="s">
        <v>583</v>
      </c>
      <c r="B74" t="s">
        <v>355</v>
      </c>
      <c r="C74" t="s">
        <v>565</v>
      </c>
      <c r="D74" t="s">
        <v>580</v>
      </c>
      <c r="E74" t="str">
        <f t="shared" si="1"/>
        <v xml:space="preserve">ROMA </v>
      </c>
      <c r="K74" t="s">
        <v>684</v>
      </c>
    </row>
    <row r="75" spans="1:11" x14ac:dyDescent="0.2">
      <c r="A75" t="s">
        <v>433</v>
      </c>
      <c r="B75" t="s">
        <v>345</v>
      </c>
      <c r="C75" t="s">
        <v>434</v>
      </c>
      <c r="D75" t="s">
        <v>435</v>
      </c>
      <c r="E75" t="str">
        <f t="shared" si="1"/>
        <v xml:space="preserve">Bolsas </v>
      </c>
      <c r="K75" t="s">
        <v>667</v>
      </c>
    </row>
    <row r="76" spans="1:11" x14ac:dyDescent="0.2">
      <c r="A76" t="s">
        <v>454</v>
      </c>
      <c r="B76" t="s">
        <v>307</v>
      </c>
      <c r="C76" t="s">
        <v>451</v>
      </c>
      <c r="D76" t="s">
        <v>455</v>
      </c>
      <c r="E76" t="str">
        <f t="shared" si="1"/>
        <v xml:space="preserve">MARGARINA </v>
      </c>
      <c r="K76" t="s">
        <v>655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703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699</v>
      </c>
    </row>
    <row r="79" spans="1:11" x14ac:dyDescent="0.2">
      <c r="A79" t="s">
        <v>383</v>
      </c>
      <c r="B79" t="s">
        <v>341</v>
      </c>
      <c r="C79" t="s">
        <v>386</v>
      </c>
      <c r="D79" t="s">
        <v>387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390</v>
      </c>
      <c r="B80" t="s">
        <v>341</v>
      </c>
      <c r="C80" t="s">
        <v>394</v>
      </c>
      <c r="D80" t="s">
        <v>395</v>
      </c>
      <c r="E80" t="str">
        <f t="shared" si="1"/>
        <v xml:space="preserve">CREMA </v>
      </c>
      <c r="K80" t="s">
        <v>631</v>
      </c>
    </row>
    <row r="81" spans="1:11" x14ac:dyDescent="0.2">
      <c r="A81" t="s">
        <v>457</v>
      </c>
      <c r="B81" t="s">
        <v>307</v>
      </c>
      <c r="C81" t="s">
        <v>308</v>
      </c>
      <c r="D81" t="s">
        <v>458</v>
      </c>
      <c r="E81" t="str">
        <f t="shared" si="1"/>
        <v xml:space="preserve">ACEITE </v>
      </c>
      <c r="K81" t="s">
        <v>668</v>
      </c>
    </row>
    <row r="82" spans="1:11" x14ac:dyDescent="0.2">
      <c r="B82" t="s">
        <v>353</v>
      </c>
      <c r="C82" t="s">
        <v>541</v>
      </c>
      <c r="D82" t="s">
        <v>542</v>
      </c>
      <c r="E82" t="str">
        <f t="shared" si="1"/>
        <v xml:space="preserve">TOMATE </v>
      </c>
      <c r="K82" t="s">
        <v>702</v>
      </c>
    </row>
    <row r="83" spans="1:11" x14ac:dyDescent="0.2">
      <c r="A83" t="s">
        <v>517</v>
      </c>
      <c r="B83" t="s">
        <v>352</v>
      </c>
      <c r="C83" t="s">
        <v>522</v>
      </c>
      <c r="D83" t="s">
        <v>523</v>
      </c>
      <c r="E83" t="str">
        <f t="shared" si="1"/>
        <v xml:space="preserve">COSTILLA </v>
      </c>
      <c r="K83" t="s">
        <v>688</v>
      </c>
    </row>
    <row r="84" spans="1:11" x14ac:dyDescent="0.2">
      <c r="A84" t="s">
        <v>383</v>
      </c>
      <c r="B84" t="s">
        <v>341</v>
      </c>
      <c r="C84" t="s">
        <v>388</v>
      </c>
      <c r="D84" t="s">
        <v>389</v>
      </c>
      <c r="E84" t="str">
        <f t="shared" si="1"/>
        <v xml:space="preserve">SALSA </v>
      </c>
      <c r="K84" t="s">
        <v>678</v>
      </c>
    </row>
    <row r="85" spans="1:11" x14ac:dyDescent="0.2">
      <c r="A85" t="s">
        <v>570</v>
      </c>
      <c r="B85" t="s">
        <v>355</v>
      </c>
      <c r="C85" t="s">
        <v>565</v>
      </c>
      <c r="D85" t="s">
        <v>574</v>
      </c>
      <c r="E85" t="str">
        <f t="shared" si="1"/>
        <v xml:space="preserve">OFERT </v>
      </c>
      <c r="K85" t="s">
        <v>658</v>
      </c>
    </row>
    <row r="86" spans="1:11" x14ac:dyDescent="0.2">
      <c r="A86" t="s">
        <v>390</v>
      </c>
      <c r="B86" t="s">
        <v>341</v>
      </c>
      <c r="C86" t="s">
        <v>392</v>
      </c>
      <c r="D86" t="s">
        <v>393</v>
      </c>
      <c r="E86" t="str">
        <f t="shared" si="1"/>
        <v xml:space="preserve">SAL </v>
      </c>
    </row>
    <row r="87" spans="1:11" x14ac:dyDescent="0.2">
      <c r="A87" t="s">
        <v>583</v>
      </c>
      <c r="B87" t="s">
        <v>355</v>
      </c>
      <c r="C87" t="s">
        <v>565</v>
      </c>
      <c r="D87" t="s">
        <v>568</v>
      </c>
      <c r="E87" t="str">
        <f t="shared" si="1"/>
        <v xml:space="preserve">ROMA </v>
      </c>
    </row>
    <row r="88" spans="1:11" x14ac:dyDescent="0.2">
      <c r="A88" t="s">
        <v>529</v>
      </c>
      <c r="B88" t="s">
        <v>352</v>
      </c>
      <c r="C88" t="s">
        <v>530</v>
      </c>
      <c r="D88" t="s">
        <v>531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578</v>
      </c>
      <c r="B91" t="s">
        <v>355</v>
      </c>
      <c r="C91" t="s">
        <v>381</v>
      </c>
      <c r="D91" t="s">
        <v>579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524</v>
      </c>
      <c r="B93" t="s">
        <v>352</v>
      </c>
      <c r="C93" t="s">
        <v>451</v>
      </c>
      <c r="D93" t="s">
        <v>525</v>
      </c>
      <c r="E93" t="str">
        <f t="shared" si="1"/>
        <v xml:space="preserve">MARGARINA </v>
      </c>
    </row>
    <row r="94" spans="1:11" x14ac:dyDescent="0.2">
      <c r="A94" t="s">
        <v>570</v>
      </c>
      <c r="B94" t="s">
        <v>355</v>
      </c>
      <c r="C94" t="s">
        <v>575</v>
      </c>
      <c r="D94" t="s">
        <v>576</v>
      </c>
      <c r="E94" t="str">
        <f t="shared" si="1"/>
        <v xml:space="preserve">PRONTO </v>
      </c>
    </row>
    <row r="95" spans="1:11" x14ac:dyDescent="0.2">
      <c r="B95" t="s">
        <v>353</v>
      </c>
      <c r="C95" t="s">
        <v>537</v>
      </c>
      <c r="D95" t="s">
        <v>539</v>
      </c>
      <c r="E95" t="str">
        <f t="shared" si="1"/>
        <v xml:space="preserve">RTD </v>
      </c>
    </row>
    <row r="96" spans="1:11" x14ac:dyDescent="0.2">
      <c r="B96" t="s">
        <v>353</v>
      </c>
      <c r="C96" t="s">
        <v>543</v>
      </c>
      <c r="D96" t="s">
        <v>544</v>
      </c>
      <c r="E96" t="str">
        <f t="shared" si="1"/>
        <v xml:space="preserve">SALCHICHA </v>
      </c>
    </row>
    <row r="97" spans="1:5" x14ac:dyDescent="0.2">
      <c r="A97" t="s">
        <v>534</v>
      </c>
      <c r="B97" t="s">
        <v>352</v>
      </c>
      <c r="C97" t="s">
        <v>535</v>
      </c>
      <c r="D97" t="s">
        <v>536</v>
      </c>
      <c r="E97" t="str">
        <f t="shared" si="1"/>
        <v xml:space="preserve">PAPA </v>
      </c>
    </row>
    <row r="98" spans="1:5" x14ac:dyDescent="0.2">
      <c r="A98" t="s">
        <v>383</v>
      </c>
      <c r="B98" t="s">
        <v>341</v>
      </c>
      <c r="C98" t="s">
        <v>384</v>
      </c>
      <c r="D98" t="s">
        <v>385</v>
      </c>
      <c r="E98" t="str">
        <f t="shared" si="1"/>
        <v xml:space="preserve">ARROZ </v>
      </c>
    </row>
    <row r="99" spans="1:5" x14ac:dyDescent="0.2">
      <c r="A99" t="s">
        <v>590</v>
      </c>
      <c r="B99" t="s">
        <v>356</v>
      </c>
      <c r="C99" t="s">
        <v>397</v>
      </c>
      <c r="D99" t="s">
        <v>593</v>
      </c>
      <c r="E99" t="str">
        <f t="shared" si="1"/>
        <v xml:space="preserve">CB1 </v>
      </c>
    </row>
    <row r="100" spans="1:5" x14ac:dyDescent="0.2">
      <c r="A100" t="s">
        <v>570</v>
      </c>
      <c r="B100" t="s">
        <v>355</v>
      </c>
      <c r="C100" t="s">
        <v>565</v>
      </c>
      <c r="D100" t="s">
        <v>577</v>
      </c>
      <c r="E100" t="str">
        <f t="shared" si="1"/>
        <v xml:space="preserve">LUCEMA </v>
      </c>
    </row>
    <row r="101" spans="1:5" x14ac:dyDescent="0.2">
      <c r="A101" t="s">
        <v>454</v>
      </c>
      <c r="B101" t="s">
        <v>307</v>
      </c>
      <c r="C101" t="s">
        <v>397</v>
      </c>
      <c r="D101" t="s">
        <v>453</v>
      </c>
      <c r="E101" t="str">
        <f t="shared" si="1"/>
        <v xml:space="preserve">CAFE </v>
      </c>
    </row>
    <row r="102" spans="1:5" x14ac:dyDescent="0.2">
      <c r="A102" t="s">
        <v>513</v>
      </c>
      <c r="B102" t="s">
        <v>351</v>
      </c>
      <c r="C102" t="s">
        <v>386</v>
      </c>
      <c r="D102" t="s">
        <v>514</v>
      </c>
      <c r="E102" t="str">
        <f t="shared" si="1"/>
        <v xml:space="preserve">AZUCAR </v>
      </c>
    </row>
    <row r="103" spans="1:5" x14ac:dyDescent="0.2">
      <c r="B103" t="s">
        <v>353</v>
      </c>
      <c r="C103" t="s">
        <v>549</v>
      </c>
      <c r="D103" t="s">
        <v>550</v>
      </c>
      <c r="E103" t="str">
        <f t="shared" si="1"/>
        <v xml:space="preserve">PAN </v>
      </c>
    </row>
    <row r="104" spans="1:5" x14ac:dyDescent="0.2">
      <c r="A104" t="s">
        <v>430</v>
      </c>
      <c r="B104" t="s">
        <v>303</v>
      </c>
      <c r="C104" t="s">
        <v>304</v>
      </c>
      <c r="D104" t="s">
        <v>425</v>
      </c>
      <c r="E104" t="str">
        <f t="shared" si="1"/>
        <v xml:space="preserve">PAPAS </v>
      </c>
    </row>
    <row r="105" spans="1:5" x14ac:dyDescent="0.2">
      <c r="A105" t="s">
        <v>517</v>
      </c>
      <c r="B105" t="s">
        <v>352</v>
      </c>
      <c r="C105" t="s">
        <v>520</v>
      </c>
      <c r="D105" t="s">
        <v>521</v>
      </c>
      <c r="E105" t="str">
        <f t="shared" si="1"/>
        <v xml:space="preserve">LECHE </v>
      </c>
    </row>
    <row r="106" spans="1:5" x14ac:dyDescent="0.2">
      <c r="A106" t="s">
        <v>594</v>
      </c>
      <c r="B106" t="s">
        <v>356</v>
      </c>
      <c r="C106" t="s">
        <v>591</v>
      </c>
      <c r="D106" t="s">
        <v>592</v>
      </c>
      <c r="E106" t="str">
        <f t="shared" si="1"/>
        <v xml:space="preserve">BEBIDA </v>
      </c>
    </row>
    <row r="107" spans="1:5" x14ac:dyDescent="0.2">
      <c r="A107" t="s">
        <v>570</v>
      </c>
      <c r="B107" t="s">
        <v>355</v>
      </c>
      <c r="C107" t="s">
        <v>381</v>
      </c>
      <c r="D107" t="s">
        <v>569</v>
      </c>
      <c r="E107" t="str">
        <f t="shared" si="1"/>
        <v xml:space="preserve">PRONTO </v>
      </c>
    </row>
    <row r="108" spans="1:5" x14ac:dyDescent="0.2">
      <c r="A108" t="s">
        <v>426</v>
      </c>
      <c r="B108" t="s">
        <v>303</v>
      </c>
      <c r="C108" t="s">
        <v>427</v>
      </c>
      <c r="D108" t="s">
        <v>428</v>
      </c>
      <c r="E108" t="str">
        <f t="shared" si="1"/>
        <v xml:space="preserve">TOALLA </v>
      </c>
    </row>
    <row r="109" spans="1:5" x14ac:dyDescent="0.2">
      <c r="A109" t="s">
        <v>433</v>
      </c>
      <c r="B109" t="s">
        <v>345</v>
      </c>
      <c r="C109" t="s">
        <v>434</v>
      </c>
      <c r="D109" t="s">
        <v>436</v>
      </c>
      <c r="E109" t="str">
        <f t="shared" si="1"/>
        <v xml:space="preserve">Bolsa </v>
      </c>
    </row>
    <row r="110" spans="1:5" x14ac:dyDescent="0.2">
      <c r="B110" t="s">
        <v>353</v>
      </c>
      <c r="C110" t="s">
        <v>537</v>
      </c>
      <c r="D110" t="s">
        <v>538</v>
      </c>
      <c r="E110" t="str">
        <f t="shared" si="1"/>
        <v xml:space="preserve">RTD </v>
      </c>
    </row>
    <row r="111" spans="1:5" x14ac:dyDescent="0.2">
      <c r="A111" t="s">
        <v>611</v>
      </c>
      <c r="B111" t="s">
        <v>359</v>
      </c>
      <c r="C111" t="s">
        <v>618</v>
      </c>
      <c r="D111" t="s">
        <v>621</v>
      </c>
      <c r="E111" t="str">
        <f t="shared" si="1"/>
        <v xml:space="preserve">Desinfectante </v>
      </c>
    </row>
    <row r="112" spans="1:5" x14ac:dyDescent="0.2">
      <c r="A112" t="s">
        <v>594</v>
      </c>
      <c r="B112" t="s">
        <v>356</v>
      </c>
      <c r="C112" t="s">
        <v>397</v>
      </c>
      <c r="D112" t="s">
        <v>595</v>
      </c>
      <c r="E112" t="str">
        <f t="shared" si="1"/>
        <v xml:space="preserve">CB1 </v>
      </c>
    </row>
    <row r="113" spans="1:5" x14ac:dyDescent="0.2">
      <c r="A113" t="s">
        <v>449</v>
      </c>
      <c r="B113" t="s">
        <v>307</v>
      </c>
      <c r="C113" t="s">
        <v>416</v>
      </c>
      <c r="D113" t="s">
        <v>450</v>
      </c>
      <c r="E113" t="str">
        <f t="shared" si="1"/>
        <v xml:space="preserve">ACHIOTE </v>
      </c>
    </row>
    <row r="114" spans="1:5" x14ac:dyDescent="0.2">
      <c r="A114" t="s">
        <v>515</v>
      </c>
      <c r="B114" t="s">
        <v>351</v>
      </c>
      <c r="C114" t="s">
        <v>386</v>
      </c>
      <c r="D114" t="s">
        <v>516</v>
      </c>
      <c r="E114" t="str">
        <f t="shared" si="1"/>
        <v xml:space="preserve">AZÚCAR </v>
      </c>
    </row>
    <row r="115" spans="1:5" x14ac:dyDescent="0.2">
      <c r="A115" t="s">
        <v>611</v>
      </c>
      <c r="B115" t="s">
        <v>359</v>
      </c>
      <c r="C115" t="s">
        <v>618</v>
      </c>
      <c r="D115" t="s">
        <v>620</v>
      </c>
      <c r="E115" t="str">
        <f t="shared" si="1"/>
        <v xml:space="preserve">Desinfectante </v>
      </c>
    </row>
    <row r="116" spans="1:5" x14ac:dyDescent="0.2">
      <c r="A116" t="s">
        <v>524</v>
      </c>
      <c r="B116" t="s">
        <v>352</v>
      </c>
      <c r="C116" t="s">
        <v>451</v>
      </c>
      <c r="D116" t="s">
        <v>526</v>
      </c>
      <c r="E116" t="str">
        <f t="shared" si="1"/>
        <v xml:space="preserve">MARGARINA </v>
      </c>
    </row>
    <row r="117" spans="1:5" x14ac:dyDescent="0.2">
      <c r="A117" t="s">
        <v>454</v>
      </c>
      <c r="B117" t="s">
        <v>307</v>
      </c>
      <c r="C117" t="s">
        <v>451</v>
      </c>
      <c r="D117" t="s">
        <v>456</v>
      </c>
      <c r="E117" t="str">
        <f t="shared" si="1"/>
        <v xml:space="preserve">MARGARINA </v>
      </c>
    </row>
    <row r="118" spans="1:5" x14ac:dyDescent="0.2">
      <c r="A118" t="s">
        <v>449</v>
      </c>
      <c r="B118" t="s">
        <v>307</v>
      </c>
      <c r="C118" t="s">
        <v>451</v>
      </c>
      <c r="D118" t="s">
        <v>452</v>
      </c>
      <c r="E118" t="str">
        <f t="shared" si="1"/>
        <v xml:space="preserve">MARGARINA </v>
      </c>
    </row>
    <row r="119" spans="1:5" x14ac:dyDescent="0.2">
      <c r="A119" t="s">
        <v>411</v>
      </c>
      <c r="B119" t="s">
        <v>343</v>
      </c>
      <c r="C119" t="s">
        <v>412</v>
      </c>
      <c r="D119" t="s">
        <v>413</v>
      </c>
      <c r="E119" t="str">
        <f t="shared" si="1"/>
        <v xml:space="preserve">(C2277-447494) </v>
      </c>
    </row>
    <row r="120" spans="1:5" x14ac:dyDescent="0.2">
      <c r="A120" t="s">
        <v>459</v>
      </c>
      <c r="B120" t="s">
        <v>307</v>
      </c>
      <c r="C120" t="s">
        <v>416</v>
      </c>
      <c r="D120" t="s">
        <v>460</v>
      </c>
      <c r="E120" t="str">
        <f t="shared" si="1"/>
        <v xml:space="preserve">ACHIOTE </v>
      </c>
    </row>
    <row r="121" spans="1:5" x14ac:dyDescent="0.2">
      <c r="A121" t="s">
        <v>611</v>
      </c>
      <c r="B121" t="s">
        <v>359</v>
      </c>
      <c r="C121" t="s">
        <v>616</v>
      </c>
      <c r="D121" t="s">
        <v>617</v>
      </c>
      <c r="E121" t="str">
        <f t="shared" si="1"/>
        <v xml:space="preserve">Desengrasante </v>
      </c>
    </row>
    <row r="122" spans="1:5" x14ac:dyDescent="0.2">
      <c r="A122" t="s">
        <v>611</v>
      </c>
      <c r="B122" t="s">
        <v>359</v>
      </c>
      <c r="C122" t="s">
        <v>618</v>
      </c>
      <c r="D122" t="s">
        <v>623</v>
      </c>
      <c r="E122" t="str">
        <f t="shared" si="1"/>
        <v xml:space="preserve">Desinfectante </v>
      </c>
    </row>
    <row r="123" spans="1:5" x14ac:dyDescent="0.2">
      <c r="A123" t="s">
        <v>611</v>
      </c>
      <c r="B123" t="s">
        <v>359</v>
      </c>
      <c r="C123" t="s">
        <v>618</v>
      </c>
      <c r="D123" t="s">
        <v>619</v>
      </c>
      <c r="E123" t="str">
        <f t="shared" si="1"/>
        <v xml:space="preserve">Cera </v>
      </c>
    </row>
    <row r="124" spans="1:5" x14ac:dyDescent="0.2">
      <c r="A124" t="s">
        <v>441</v>
      </c>
      <c r="B124" t="s">
        <v>345</v>
      </c>
      <c r="C124" t="s">
        <v>442</v>
      </c>
      <c r="D124" t="s">
        <v>443</v>
      </c>
      <c r="E124" t="str">
        <f t="shared" si="1"/>
        <v xml:space="preserve">Bandeja </v>
      </c>
    </row>
    <row r="125" spans="1:5" x14ac:dyDescent="0.2">
      <c r="A125" t="s">
        <v>611</v>
      </c>
      <c r="B125" t="s">
        <v>359</v>
      </c>
      <c r="C125" t="s">
        <v>618</v>
      </c>
      <c r="D125" t="s">
        <v>622</v>
      </c>
      <c r="E125" t="str">
        <f t="shared" si="1"/>
        <v xml:space="preserve">Desinfectante </v>
      </c>
    </row>
    <row r="126" spans="1:5" x14ac:dyDescent="0.2">
      <c r="A126" t="s">
        <v>418</v>
      </c>
      <c r="B126" t="s">
        <v>344</v>
      </c>
      <c r="C126" t="s">
        <v>416</v>
      </c>
      <c r="D126" t="s">
        <v>419</v>
      </c>
      <c r="E126" t="str">
        <f t="shared" si="1"/>
        <v xml:space="preserve">Lin. </v>
      </c>
    </row>
    <row r="127" spans="1:5" x14ac:dyDescent="0.2">
      <c r="A127" t="s">
        <v>517</v>
      </c>
      <c r="B127" t="s">
        <v>352</v>
      </c>
      <c r="C127" t="s">
        <v>518</v>
      </c>
      <c r="D127" t="s">
        <v>519</v>
      </c>
      <c r="E127" t="str">
        <f t="shared" si="1"/>
        <v xml:space="preserve">ACEITE </v>
      </c>
    </row>
    <row r="128" spans="1:5" x14ac:dyDescent="0.2">
      <c r="A128" t="s">
        <v>529</v>
      </c>
      <c r="B128" t="s">
        <v>352</v>
      </c>
      <c r="C128" t="s">
        <v>532</v>
      </c>
      <c r="D128" t="s">
        <v>533</v>
      </c>
      <c r="E128" t="str">
        <f t="shared" si="1"/>
        <v xml:space="preserve">PALITOS </v>
      </c>
    </row>
    <row r="129" spans="1:5" x14ac:dyDescent="0.2">
      <c r="A129" t="s">
        <v>411</v>
      </c>
      <c r="B129" t="s">
        <v>343</v>
      </c>
      <c r="C129" t="s">
        <v>412</v>
      </c>
      <c r="D129" t="s">
        <v>414</v>
      </c>
      <c r="E129" t="str">
        <f t="shared" si="1"/>
        <v xml:space="preserve">(C2346-442673) </v>
      </c>
    </row>
    <row r="130" spans="1:5" x14ac:dyDescent="0.2">
      <c r="A130" t="s">
        <v>457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611</v>
      </c>
      <c r="B131" t="s">
        <v>359</v>
      </c>
      <c r="C131" t="s">
        <v>624</v>
      </c>
      <c r="D131" t="s">
        <v>625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479</v>
      </c>
      <c r="B132" t="s">
        <v>8</v>
      </c>
      <c r="C132" t="s">
        <v>5</v>
      </c>
      <c r="D132" t="s">
        <v>481</v>
      </c>
      <c r="E132" t="str">
        <f t="shared" si="2"/>
        <v xml:space="preserve">BULTO </v>
      </c>
    </row>
    <row r="133" spans="1:5" x14ac:dyDescent="0.2">
      <c r="A133" t="s">
        <v>433</v>
      </c>
      <c r="B133" t="s">
        <v>345</v>
      </c>
      <c r="C133" t="s">
        <v>439</v>
      </c>
      <c r="D133" t="s">
        <v>440</v>
      </c>
      <c r="E133" t="str">
        <f t="shared" si="2"/>
        <v xml:space="preserve">Tapa </v>
      </c>
    </row>
    <row r="134" spans="1:5" x14ac:dyDescent="0.2">
      <c r="A134" t="s">
        <v>446</v>
      </c>
      <c r="B134" t="s">
        <v>345</v>
      </c>
      <c r="C134" t="s">
        <v>437</v>
      </c>
      <c r="D134" t="s">
        <v>438</v>
      </c>
      <c r="E134" t="str">
        <f t="shared" si="2"/>
        <v xml:space="preserve">Servilleta </v>
      </c>
    </row>
    <row r="135" spans="1:5" x14ac:dyDescent="0.2">
      <c r="A135" t="s">
        <v>479</v>
      </c>
      <c r="B135" t="s">
        <v>8</v>
      </c>
      <c r="C135" t="s">
        <v>5</v>
      </c>
      <c r="D135" t="s">
        <v>480</v>
      </c>
      <c r="E135" t="str">
        <f t="shared" si="2"/>
        <v xml:space="preserve">HARINA </v>
      </c>
    </row>
    <row r="136" spans="1:5" x14ac:dyDescent="0.2">
      <c r="A136" t="s">
        <v>484</v>
      </c>
      <c r="B136" t="s">
        <v>8</v>
      </c>
      <c r="C136" t="s">
        <v>5</v>
      </c>
      <c r="D136" t="s">
        <v>486</v>
      </c>
      <c r="E136" t="str">
        <f t="shared" si="2"/>
        <v xml:space="preserve">BULTO </v>
      </c>
    </row>
    <row r="137" spans="1:5" x14ac:dyDescent="0.2">
      <c r="A137" t="s">
        <v>459</v>
      </c>
      <c r="B137" t="s">
        <v>307</v>
      </c>
      <c r="C137" t="s">
        <v>317</v>
      </c>
      <c r="D137" t="s">
        <v>461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477</v>
      </c>
      <c r="B139" t="s">
        <v>8</v>
      </c>
      <c r="C139" t="s">
        <v>5</v>
      </c>
      <c r="D139" t="s">
        <v>478</v>
      </c>
      <c r="E139" t="str">
        <f t="shared" si="2"/>
        <v xml:space="preserve">HARINA </v>
      </c>
    </row>
    <row r="140" spans="1:5" x14ac:dyDescent="0.2">
      <c r="A140" t="s">
        <v>482</v>
      </c>
      <c r="B140" t="s">
        <v>8</v>
      </c>
      <c r="C140" t="s">
        <v>5</v>
      </c>
      <c r="D140" t="s">
        <v>483</v>
      </c>
      <c r="E140" t="str">
        <f t="shared" si="2"/>
        <v xml:space="preserve">HARINA </v>
      </c>
    </row>
    <row r="141" spans="1:5" x14ac:dyDescent="0.2">
      <c r="A141" t="s">
        <v>484</v>
      </c>
      <c r="B141" t="s">
        <v>8</v>
      </c>
      <c r="C141" t="s">
        <v>5</v>
      </c>
      <c r="D141" t="s">
        <v>485</v>
      </c>
      <c r="E141" t="str">
        <f t="shared" si="2"/>
        <v xml:space="preserve">BULTO </v>
      </c>
    </row>
    <row r="142" spans="1:5" x14ac:dyDescent="0.2">
      <c r="A142" t="s">
        <v>459</v>
      </c>
      <c r="B142" t="s">
        <v>307</v>
      </c>
      <c r="C142" t="s">
        <v>317</v>
      </c>
      <c r="D142" t="s">
        <v>462</v>
      </c>
      <c r="E142" t="str">
        <f t="shared" si="2"/>
        <v xml:space="preserve">SOPA </v>
      </c>
    </row>
    <row r="143" spans="1:5" x14ac:dyDescent="0.2">
      <c r="A143" t="s">
        <v>429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459</v>
      </c>
      <c r="B144" t="s">
        <v>307</v>
      </c>
      <c r="C144" t="s">
        <v>317</v>
      </c>
      <c r="D144" t="s">
        <v>464</v>
      </c>
      <c r="E144" t="str">
        <f t="shared" si="2"/>
        <v xml:space="preserve">SOPA </v>
      </c>
    </row>
    <row r="145" spans="1:5" x14ac:dyDescent="0.2">
      <c r="A145" t="s">
        <v>465</v>
      </c>
      <c r="B145" t="s">
        <v>347</v>
      </c>
      <c r="C145" t="s">
        <v>308</v>
      </c>
      <c r="D145" t="s">
        <v>472</v>
      </c>
      <c r="E145" t="str">
        <f t="shared" si="2"/>
        <v xml:space="preserve">MMTGIAG05 </v>
      </c>
    </row>
    <row r="146" spans="1:5" x14ac:dyDescent="0.2">
      <c r="A146" t="s">
        <v>459</v>
      </c>
      <c r="B146" t="s">
        <v>307</v>
      </c>
      <c r="C146" t="s">
        <v>317</v>
      </c>
      <c r="D146" t="s">
        <v>463</v>
      </c>
      <c r="E146" t="str">
        <f t="shared" si="2"/>
        <v xml:space="preserve">SOPA </v>
      </c>
    </row>
    <row r="147" spans="1:5" x14ac:dyDescent="0.2">
      <c r="A147" t="s">
        <v>465</v>
      </c>
      <c r="B147" t="s">
        <v>347</v>
      </c>
      <c r="C147" t="s">
        <v>384</v>
      </c>
      <c r="D147" t="s">
        <v>471</v>
      </c>
      <c r="E147" t="str">
        <f t="shared" si="2"/>
        <v xml:space="preserve">MTMSGR78 </v>
      </c>
    </row>
    <row r="148" spans="1:5" x14ac:dyDescent="0.2">
      <c r="A148" t="s">
        <v>465</v>
      </c>
      <c r="B148" t="s">
        <v>347</v>
      </c>
      <c r="C148" t="s">
        <v>308</v>
      </c>
      <c r="D148" t="s">
        <v>470</v>
      </c>
      <c r="E148" t="str">
        <f t="shared" si="2"/>
        <v xml:space="preserve">MTMSAG08 </v>
      </c>
    </row>
    <row r="149" spans="1:5" x14ac:dyDescent="0.2">
      <c r="A149" t="s">
        <v>465</v>
      </c>
      <c r="B149" t="s">
        <v>347</v>
      </c>
      <c r="C149" t="s">
        <v>466</v>
      </c>
      <c r="D149" t="s">
        <v>467</v>
      </c>
      <c r="E149" t="str">
        <f t="shared" si="2"/>
        <v xml:space="preserve">MTEZDE401 </v>
      </c>
    </row>
    <row r="150" spans="1:5" x14ac:dyDescent="0.2">
      <c r="A150" t="s">
        <v>465</v>
      </c>
      <c r="B150" t="s">
        <v>347</v>
      </c>
      <c r="C150" t="s">
        <v>439</v>
      </c>
      <c r="D150" t="s">
        <v>468</v>
      </c>
      <c r="E150" t="str">
        <f t="shared" si="2"/>
        <v xml:space="preserve">MTEZDE418 </v>
      </c>
    </row>
    <row r="151" spans="1:5" x14ac:dyDescent="0.2">
      <c r="A151" t="s">
        <v>465</v>
      </c>
      <c r="B151" t="s">
        <v>347</v>
      </c>
      <c r="C151" t="s">
        <v>466</v>
      </c>
      <c r="D151" t="s">
        <v>469</v>
      </c>
      <c r="E151" t="str">
        <f t="shared" si="2"/>
        <v xml:space="preserve">MTEZDE450 </v>
      </c>
    </row>
    <row r="152" spans="1:5" x14ac:dyDescent="0.2">
      <c r="A152" t="s">
        <v>499</v>
      </c>
      <c r="B152" t="s">
        <v>350</v>
      </c>
      <c r="C152" t="s">
        <v>500</v>
      </c>
      <c r="D152" t="s">
        <v>501</v>
      </c>
      <c r="E152" t="str">
        <f t="shared" si="2"/>
        <v xml:space="preserve">FRIJOL </v>
      </c>
    </row>
    <row r="153" spans="1:5" x14ac:dyDescent="0.2">
      <c r="A153" t="s">
        <v>502</v>
      </c>
      <c r="B153" t="s">
        <v>350</v>
      </c>
      <c r="C153" t="s">
        <v>500</v>
      </c>
      <c r="D153" t="s">
        <v>504</v>
      </c>
      <c r="E153" t="str">
        <f t="shared" si="2"/>
        <v xml:space="preserve">FRIJOL </v>
      </c>
    </row>
    <row r="154" spans="1:5" x14ac:dyDescent="0.2">
      <c r="A154" t="s">
        <v>505</v>
      </c>
      <c r="B154" t="s">
        <v>350</v>
      </c>
      <c r="C154" t="s">
        <v>500</v>
      </c>
      <c r="D154" t="s">
        <v>506</v>
      </c>
      <c r="E154" t="str">
        <f t="shared" si="2"/>
        <v xml:space="preserve">FRIJOL </v>
      </c>
    </row>
    <row r="155" spans="1:5" x14ac:dyDescent="0.2">
      <c r="A155" t="s">
        <v>507</v>
      </c>
      <c r="B155" t="s">
        <v>350</v>
      </c>
      <c r="C155" t="s">
        <v>500</v>
      </c>
      <c r="D155" t="s">
        <v>508</v>
      </c>
      <c r="E155" t="str">
        <f t="shared" si="2"/>
        <v xml:space="preserve">FRIJOL </v>
      </c>
    </row>
    <row r="156" spans="1:5" x14ac:dyDescent="0.2">
      <c r="A156" t="s">
        <v>502</v>
      </c>
      <c r="B156" t="s">
        <v>350</v>
      </c>
      <c r="C156" t="s">
        <v>500</v>
      </c>
      <c r="D156" t="s">
        <v>503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proveedor</vt:lpstr>
      <vt:lpstr>tblProductos</vt:lpstr>
      <vt:lpstr>factura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Minor Gomez Viales</cp:lastModifiedBy>
  <dcterms:created xsi:type="dcterms:W3CDTF">2024-07-18T03:22:34Z</dcterms:created>
  <dcterms:modified xsi:type="dcterms:W3CDTF">2024-08-06T01:50:06Z</dcterms:modified>
</cp:coreProperties>
</file>