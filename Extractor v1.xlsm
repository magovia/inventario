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MinorGomezViales\Documents\Min\inventario\"/>
    </mc:Choice>
  </mc:AlternateContent>
  <xr:revisionPtr revIDLastSave="0" documentId="13_ncr:1_{532CA451-10F7-444E-AB1A-EE427110F781}" xr6:coauthVersionLast="47" xr6:coauthVersionMax="47" xr10:uidLastSave="{00000000-0000-0000-0000-000000000000}"/>
  <bookViews>
    <workbookView xWindow="-120" yWindow="-120" windowWidth="24240" windowHeight="13020" activeTab="1" xr2:uid="{11BAFABE-AE26-44DA-9CE9-2CFDF6A9803C}"/>
  </bookViews>
  <sheets>
    <sheet name="Macro" sheetId="8" r:id="rId1"/>
    <sheet name="proveedor" sheetId="3" r:id="rId2"/>
    <sheet name="tblProductos" sheetId="7" r:id="rId3"/>
    <sheet name="tblFacturasDetalle" sheetId="9" r:id="rId4"/>
    <sheet name="tblFacturas" sheetId="11" r:id="rId5"/>
    <sheet name="ProductoCheck" sheetId="4" r:id="rId6"/>
    <sheet name="categorias" sheetId="6" r:id="rId7"/>
    <sheet name="Hoja1" sheetId="1" r:id="rId8"/>
    <sheet name="Hoja2" sheetId="5" r:id="rId9"/>
  </sheets>
  <definedNames>
    <definedName name="_xlnm._FilterDatabase" localSheetId="7" hidden="1">Hoja1!$C$1:$D$87</definedName>
    <definedName name="_xlnm._FilterDatabase" localSheetId="8" hidden="1">Hoja2!$K$1:$K$85</definedName>
    <definedName name="_xlnm._FilterDatabase" localSheetId="5" hidden="1">ProductoCheck!$C$2:$L$25</definedName>
    <definedName name="DatosExternos_2" localSheetId="1" hidden="1">proveedor!$A$1:$E$3</definedName>
    <definedName name="DatosExternos_2" localSheetId="2" hidden="1">tblProductos!$A$1:$E$5</definedName>
    <definedName name="ExternalData_1" localSheetId="4" hidden="1">tblFacturas!$A$1:$F$3</definedName>
    <definedName name="ExternalData_1" localSheetId="3" hidden="1">tblFacturasDetalle!$A$1:$J$5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37" i="6" l="1"/>
  <c r="H338" i="6"/>
  <c r="H339" i="6"/>
  <c r="H340" i="6"/>
  <c r="H341" i="6"/>
  <c r="H342" i="6"/>
  <c r="H343" i="6"/>
  <c r="H152" i="6"/>
  <c r="H153" i="6"/>
  <c r="H154" i="6"/>
  <c r="H155" i="6"/>
  <c r="H156" i="6"/>
  <c r="H157" i="6"/>
  <c r="H161" i="6"/>
  <c r="H162" i="6"/>
  <c r="H163" i="6"/>
  <c r="H164" i="6"/>
  <c r="H165" i="6"/>
  <c r="H166" i="6"/>
  <c r="H167" i="6"/>
  <c r="H296" i="6"/>
  <c r="H297" i="6"/>
  <c r="H298" i="6"/>
  <c r="H299" i="6"/>
  <c r="H300" i="6"/>
  <c r="H71" i="6"/>
  <c r="H72" i="6"/>
  <c r="H73" i="6"/>
  <c r="H74" i="6"/>
  <c r="H326" i="6"/>
  <c r="H327" i="6"/>
  <c r="H328" i="6"/>
  <c r="H329" i="6"/>
  <c r="H330" i="6"/>
  <c r="H331" i="6"/>
  <c r="H332" i="6"/>
  <c r="H187" i="6"/>
  <c r="H188" i="6"/>
  <c r="H189" i="6"/>
  <c r="H190" i="6"/>
  <c r="H56" i="6"/>
  <c r="H57" i="6"/>
  <c r="H58" i="6"/>
  <c r="H59" i="6"/>
  <c r="H60" i="6"/>
  <c r="H61" i="6"/>
  <c r="H168" i="6"/>
  <c r="H169" i="6"/>
  <c r="H170" i="6"/>
  <c r="H171" i="6"/>
  <c r="H194" i="6"/>
  <c r="H195" i="6"/>
  <c r="H196" i="6"/>
  <c r="H197" i="6"/>
  <c r="H198" i="6"/>
  <c r="H199" i="6"/>
  <c r="H268" i="6"/>
  <c r="H269" i="6"/>
  <c r="H270" i="6"/>
  <c r="H271" i="6"/>
  <c r="H35" i="6"/>
  <c r="H36" i="6"/>
  <c r="H37" i="6"/>
  <c r="H38" i="6"/>
  <c r="H46" i="6"/>
  <c r="H47" i="6"/>
  <c r="H48" i="6"/>
  <c r="H49" i="6"/>
  <c r="H8" i="6"/>
  <c r="H9" i="6"/>
  <c r="H10" i="6"/>
  <c r="H11" i="6"/>
  <c r="H12" i="6"/>
  <c r="H172" i="6"/>
  <c r="H173" i="6"/>
  <c r="H174" i="6"/>
  <c r="H175" i="6"/>
  <c r="H22" i="6"/>
  <c r="H23" i="6"/>
  <c r="H24" i="6"/>
  <c r="H25" i="6"/>
  <c r="H310" i="6"/>
  <c r="H311" i="6"/>
  <c r="H312" i="6"/>
  <c r="H313" i="6"/>
  <c r="H284" i="6"/>
  <c r="H231" i="6"/>
  <c r="H232" i="6"/>
  <c r="H233" i="6"/>
  <c r="H305" i="6"/>
  <c r="H306" i="6"/>
  <c r="H307" i="6"/>
  <c r="H308" i="6"/>
  <c r="H78" i="6"/>
  <c r="H79" i="6"/>
  <c r="H80" i="6"/>
  <c r="H81" i="6"/>
  <c r="H82" i="6"/>
  <c r="H185" i="6"/>
  <c r="H186" i="6"/>
  <c r="H83" i="6"/>
  <c r="H84" i="6"/>
  <c r="H85" i="6"/>
  <c r="H86" i="6"/>
  <c r="H87" i="6"/>
  <c r="H88" i="6"/>
  <c r="H89" i="6"/>
  <c r="H90" i="6"/>
  <c r="H91" i="6"/>
  <c r="H285" i="6"/>
  <c r="H286" i="6"/>
  <c r="H287" i="6"/>
  <c r="H288" i="6"/>
  <c r="H289" i="6"/>
  <c r="H290" i="6"/>
  <c r="H291" i="6"/>
  <c r="H292" i="6"/>
  <c r="H293" i="6"/>
  <c r="H200" i="6"/>
  <c r="H201" i="6"/>
  <c r="H202" i="6"/>
  <c r="H203" i="6"/>
  <c r="H39" i="6"/>
  <c r="H40" i="6"/>
  <c r="H41" i="6"/>
  <c r="H42" i="6"/>
  <c r="H43" i="6"/>
  <c r="H44" i="6"/>
  <c r="H135" i="6"/>
  <c r="H136" i="6"/>
  <c r="H137" i="6"/>
  <c r="H227" i="6"/>
  <c r="H323" i="6"/>
  <c r="H261" i="6"/>
  <c r="H262" i="6"/>
  <c r="H301" i="6"/>
  <c r="H302" i="6"/>
  <c r="H70" i="6"/>
  <c r="H355" i="6"/>
  <c r="H356" i="6"/>
  <c r="H357" i="6"/>
  <c r="H358" i="6"/>
  <c r="H359" i="6"/>
  <c r="H241" i="6"/>
  <c r="H242" i="6"/>
  <c r="H243" i="6"/>
  <c r="H244" i="6"/>
  <c r="H245" i="6"/>
  <c r="H246" i="6"/>
  <c r="H247" i="6"/>
  <c r="H75" i="6"/>
  <c r="H94" i="6"/>
  <c r="H150" i="6"/>
  <c r="H63" i="6"/>
  <c r="H64" i="6"/>
  <c r="H65" i="6"/>
  <c r="H66" i="6"/>
  <c r="H67" i="6"/>
  <c r="H68" i="6"/>
  <c r="H69" i="6"/>
  <c r="H138" i="6"/>
  <c r="H274" i="6"/>
  <c r="H334" i="6"/>
  <c r="H151" i="6"/>
  <c r="H272" i="6"/>
  <c r="H62" i="6"/>
  <c r="H335" i="6"/>
  <c r="H45" i="6"/>
  <c r="H333" i="6"/>
  <c r="H53" i="6"/>
  <c r="H31" i="6"/>
  <c r="H29" i="6"/>
  <c r="H149" i="6"/>
  <c r="H76" i="6"/>
  <c r="H131" i="6"/>
  <c r="H132" i="6"/>
  <c r="H133" i="6"/>
  <c r="H134" i="6"/>
  <c r="H267" i="6"/>
  <c r="H30" i="6"/>
  <c r="H360" i="6"/>
  <c r="H361" i="6"/>
  <c r="H362" i="6"/>
  <c r="H336" i="6"/>
  <c r="H26" i="6"/>
  <c r="H27" i="6"/>
  <c r="H324" i="6"/>
  <c r="H325" i="6"/>
  <c r="H265" i="6"/>
  <c r="H266" i="6"/>
  <c r="H50" i="6"/>
  <c r="H51" i="6"/>
  <c r="H52" i="6"/>
  <c r="H176" i="6"/>
  <c r="H177" i="6"/>
  <c r="H178" i="6"/>
  <c r="H158" i="6"/>
  <c r="H273" i="6"/>
  <c r="H148" i="6"/>
  <c r="H111" i="6"/>
  <c r="H112" i="6"/>
  <c r="H28" i="6"/>
  <c r="H179" i="6"/>
  <c r="H180" i="6"/>
  <c r="H181" i="6"/>
  <c r="H182" i="6"/>
  <c r="H183" i="6"/>
  <c r="H184" i="6"/>
  <c r="H349" i="6"/>
  <c r="H350" i="6"/>
  <c r="H351" i="6"/>
  <c r="H352" i="6"/>
  <c r="H353" i="6"/>
  <c r="H354" i="6"/>
  <c r="H113" i="6"/>
  <c r="H114" i="6"/>
  <c r="H115" i="6"/>
  <c r="H116" i="6"/>
  <c r="H117" i="6"/>
  <c r="H118" i="6"/>
  <c r="H119" i="6"/>
  <c r="H120" i="6"/>
  <c r="H121" i="6"/>
  <c r="H122" i="6"/>
  <c r="H204" i="6"/>
  <c r="H205" i="6"/>
  <c r="H206" i="6"/>
  <c r="H207" i="6"/>
  <c r="H208" i="6"/>
  <c r="H209" i="6"/>
  <c r="H210" i="6"/>
  <c r="H211" i="6"/>
  <c r="H212" i="6"/>
  <c r="H95" i="6"/>
  <c r="H96" i="6"/>
  <c r="H97" i="6"/>
  <c r="H98" i="6"/>
  <c r="H99" i="6"/>
  <c r="H100" i="6"/>
  <c r="H101" i="6"/>
  <c r="H102" i="6"/>
  <c r="H103" i="6"/>
  <c r="H104" i="6"/>
  <c r="H123" i="6"/>
  <c r="H124" i="6"/>
  <c r="H125" i="6"/>
  <c r="H126" i="6"/>
  <c r="H127" i="6"/>
  <c r="H106" i="6"/>
  <c r="H107" i="6"/>
  <c r="H108" i="6"/>
  <c r="H109" i="6"/>
  <c r="H110" i="6"/>
  <c r="H128" i="6"/>
  <c r="H129" i="6"/>
  <c r="H13" i="6"/>
  <c r="H14" i="6"/>
  <c r="H213" i="6"/>
  <c r="H214" i="6"/>
  <c r="H215" i="6"/>
  <c r="H216" i="6"/>
  <c r="H217" i="6"/>
  <c r="H218" i="6"/>
  <c r="H294" i="6"/>
  <c r="H130" i="6"/>
  <c r="H228" i="6"/>
  <c r="H224" i="6"/>
  <c r="H225" i="6"/>
  <c r="H226" i="6"/>
  <c r="H303" i="6"/>
  <c r="H304" i="6"/>
  <c r="H191" i="6"/>
  <c r="H192" i="6"/>
  <c r="H193" i="6"/>
  <c r="H54" i="6"/>
  <c r="H55" i="6"/>
  <c r="H159" i="6"/>
  <c r="H160" i="6"/>
  <c r="H15" i="6"/>
  <c r="H16" i="6"/>
  <c r="H314" i="6"/>
  <c r="H315" i="6"/>
  <c r="H316" i="6"/>
  <c r="H317" i="6"/>
  <c r="H318" i="6"/>
  <c r="H319" i="6"/>
  <c r="H320" i="6"/>
  <c r="H363" i="6"/>
  <c r="H364" i="6"/>
  <c r="H365" i="6"/>
  <c r="H234" i="6"/>
  <c r="H235" i="6"/>
  <c r="H236" i="6"/>
  <c r="H237" i="6"/>
  <c r="H238" i="6"/>
  <c r="H239" i="6"/>
  <c r="H240" i="6"/>
  <c r="H259" i="6"/>
  <c r="H260" i="6"/>
  <c r="H105" i="6"/>
  <c r="H219" i="6"/>
  <c r="H220" i="6"/>
  <c r="H221" i="6"/>
  <c r="H222" i="6"/>
  <c r="H248" i="6"/>
  <c r="H249" i="6"/>
  <c r="H250" i="6"/>
  <c r="H251" i="6"/>
  <c r="H252" i="6"/>
  <c r="H253" i="6"/>
  <c r="H254" i="6"/>
  <c r="H255" i="6"/>
  <c r="H256" i="6"/>
  <c r="H257" i="6"/>
  <c r="H139" i="6"/>
  <c r="H140" i="6"/>
  <c r="H141" i="6"/>
  <c r="H142" i="6"/>
  <c r="H143" i="6"/>
  <c r="H144" i="6"/>
  <c r="H145" i="6"/>
  <c r="H146" i="6"/>
  <c r="H147" i="6"/>
  <c r="H2" i="6"/>
  <c r="H3" i="6"/>
  <c r="H4" i="6"/>
  <c r="H5" i="6"/>
  <c r="H6" i="6"/>
  <c r="H33" i="6"/>
  <c r="H34" i="6"/>
  <c r="H344" i="6"/>
  <c r="H229" i="6"/>
  <c r="H230" i="6"/>
  <c r="H295" i="6"/>
  <c r="H321" i="6"/>
  <c r="H223" i="6"/>
  <c r="H263" i="6"/>
  <c r="H264" i="6"/>
  <c r="H77" i="6"/>
  <c r="H20" i="6"/>
  <c r="H19" i="6"/>
  <c r="H309" i="6"/>
  <c r="H18" i="6"/>
  <c r="H7" i="6"/>
  <c r="H17" i="6"/>
  <c r="H258" i="6"/>
  <c r="H32" i="6"/>
  <c r="H21" i="6"/>
  <c r="H275" i="6"/>
  <c r="H276" i="6"/>
  <c r="H322" i="6"/>
  <c r="H277" i="6"/>
  <c r="H278" i="6"/>
  <c r="H279" i="6"/>
  <c r="H280" i="6"/>
  <c r="H281" i="6"/>
  <c r="H282" i="6"/>
  <c r="H283" i="6"/>
  <c r="H345" i="6"/>
  <c r="H346" i="6"/>
  <c r="H347" i="6"/>
  <c r="H348" i="6"/>
  <c r="H92" i="6"/>
  <c r="H93" i="6"/>
  <c r="G21" i="6"/>
  <c r="A2" i="4"/>
  <c r="A6" i="4"/>
  <c r="A5" i="4"/>
  <c r="A13" i="4"/>
  <c r="A18" i="4"/>
  <c r="A19" i="4"/>
  <c r="A15" i="4"/>
  <c r="A9" i="4"/>
  <c r="A7" i="4"/>
  <c r="A10" i="4"/>
  <c r="A25" i="4"/>
  <c r="A20" i="4"/>
  <c r="A21" i="4"/>
  <c r="A11" i="4"/>
  <c r="A14" i="4"/>
  <c r="A8" i="4"/>
  <c r="A3" i="4"/>
  <c r="A16" i="4"/>
  <c r="A17" i="4"/>
  <c r="A22" i="4"/>
  <c r="A23" i="4"/>
  <c r="A12" i="4"/>
  <c r="A24" i="4"/>
  <c r="A4" i="4"/>
  <c r="G337" i="6"/>
  <c r="G338" i="6"/>
  <c r="G339" i="6"/>
  <c r="G340" i="6"/>
  <c r="G341" i="6"/>
  <c r="G342" i="6"/>
  <c r="G343" i="6"/>
  <c r="G152" i="6"/>
  <c r="G153" i="6"/>
  <c r="G154" i="6"/>
  <c r="G155" i="6"/>
  <c r="G156" i="6"/>
  <c r="G157" i="6"/>
  <c r="G161" i="6"/>
  <c r="G162" i="6"/>
  <c r="G163" i="6"/>
  <c r="G164" i="6"/>
  <c r="G165" i="6"/>
  <c r="G166" i="6"/>
  <c r="G167" i="6"/>
  <c r="G296" i="6"/>
  <c r="G297" i="6"/>
  <c r="G298" i="6"/>
  <c r="G299" i="6"/>
  <c r="G300" i="6"/>
  <c r="G71" i="6"/>
  <c r="G72" i="6"/>
  <c r="G73" i="6"/>
  <c r="G74" i="6"/>
  <c r="G326" i="6"/>
  <c r="G327" i="6"/>
  <c r="G328" i="6"/>
  <c r="G329" i="6"/>
  <c r="G330" i="6"/>
  <c r="G331" i="6"/>
  <c r="G332" i="6"/>
  <c r="G187" i="6"/>
  <c r="G188" i="6"/>
  <c r="G189" i="6"/>
  <c r="G190" i="6"/>
  <c r="G56" i="6"/>
  <c r="G57" i="6"/>
  <c r="G58" i="6"/>
  <c r="G59" i="6"/>
  <c r="G60" i="6"/>
  <c r="G61" i="6"/>
  <c r="G168" i="6"/>
  <c r="G169" i="6"/>
  <c r="G170" i="6"/>
  <c r="G171" i="6"/>
  <c r="G194" i="6"/>
  <c r="G195" i="6"/>
  <c r="G196" i="6"/>
  <c r="G197" i="6"/>
  <c r="G198" i="6"/>
  <c r="G199" i="6"/>
  <c r="G268" i="6"/>
  <c r="G269" i="6"/>
  <c r="G270" i="6"/>
  <c r="G271" i="6"/>
  <c r="G35" i="6"/>
  <c r="G36" i="6"/>
  <c r="G37" i="6"/>
  <c r="G38" i="6"/>
  <c r="G46" i="6"/>
  <c r="G47" i="6"/>
  <c r="G48" i="6"/>
  <c r="G49" i="6"/>
  <c r="G8" i="6"/>
  <c r="G9" i="6"/>
  <c r="G10" i="6"/>
  <c r="G11" i="6"/>
  <c r="G12" i="6"/>
  <c r="G172" i="6"/>
  <c r="G173" i="6"/>
  <c r="G174" i="6"/>
  <c r="G175" i="6"/>
  <c r="G22" i="6"/>
  <c r="G23" i="6"/>
  <c r="G24" i="6"/>
  <c r="G25" i="6"/>
  <c r="G310" i="6"/>
  <c r="G311" i="6"/>
  <c r="G312" i="6"/>
  <c r="G313" i="6"/>
  <c r="G284" i="6"/>
  <c r="G231" i="6"/>
  <c r="G232" i="6"/>
  <c r="G233" i="6"/>
  <c r="G224" i="6"/>
  <c r="G225" i="6"/>
  <c r="G226" i="6"/>
  <c r="G303" i="6"/>
  <c r="G304" i="6"/>
  <c r="G191" i="6"/>
  <c r="G192" i="6"/>
  <c r="G193" i="6"/>
  <c r="G54" i="6"/>
  <c r="G55" i="6"/>
  <c r="G159" i="6"/>
  <c r="G160" i="6"/>
  <c r="G15" i="6"/>
  <c r="G16" i="6"/>
  <c r="G355" i="6"/>
  <c r="G356" i="6"/>
  <c r="G357" i="6"/>
  <c r="G358" i="6"/>
  <c r="G359" i="6"/>
  <c r="G241" i="6"/>
  <c r="G242" i="6"/>
  <c r="G243" i="6"/>
  <c r="G244" i="6"/>
  <c r="G245" i="6"/>
  <c r="G246" i="6"/>
  <c r="G247" i="6"/>
  <c r="G75" i="6"/>
  <c r="G94" i="6"/>
  <c r="G150" i="6"/>
  <c r="G305" i="6"/>
  <c r="G306" i="6"/>
  <c r="G307" i="6"/>
  <c r="G308" i="6"/>
  <c r="G78" i="6"/>
  <c r="G79" i="6"/>
  <c r="G80" i="6"/>
  <c r="G81" i="6"/>
  <c r="G82" i="6"/>
  <c r="G185" i="6"/>
  <c r="G186" i="6"/>
  <c r="G275" i="6"/>
  <c r="G276" i="6"/>
  <c r="G322" i="6"/>
  <c r="G277" i="6"/>
  <c r="G278" i="6"/>
  <c r="G279" i="6"/>
  <c r="G280" i="6"/>
  <c r="G281" i="6"/>
  <c r="G282" i="6"/>
  <c r="G283" i="6"/>
  <c r="G345" i="6"/>
  <c r="G346" i="6"/>
  <c r="G347" i="6"/>
  <c r="G348" i="6"/>
  <c r="G92" i="6"/>
  <c r="G93" i="6"/>
  <c r="G314" i="6"/>
  <c r="G315" i="6"/>
  <c r="G316" i="6"/>
  <c r="G317" i="6"/>
  <c r="G318" i="6"/>
  <c r="G319" i="6"/>
  <c r="G320" i="6"/>
  <c r="G363" i="6"/>
  <c r="G364" i="6"/>
  <c r="G365" i="6"/>
  <c r="G234" i="6"/>
  <c r="G235" i="6"/>
  <c r="G236" i="6"/>
  <c r="G237" i="6"/>
  <c r="G238" i="6"/>
  <c r="G239" i="6"/>
  <c r="G240" i="6"/>
  <c r="G259" i="6"/>
  <c r="G260" i="6"/>
  <c r="G105" i="6"/>
  <c r="G219" i="6"/>
  <c r="G220" i="6"/>
  <c r="G221" i="6"/>
  <c r="G222" i="6"/>
  <c r="G63" i="6"/>
  <c r="G64" i="6"/>
  <c r="G65" i="6"/>
  <c r="G66" i="6"/>
  <c r="G67" i="6"/>
  <c r="G68" i="6"/>
  <c r="G69" i="6"/>
  <c r="G179" i="6"/>
  <c r="G180" i="6"/>
  <c r="G181" i="6"/>
  <c r="G182" i="6"/>
  <c r="G183" i="6"/>
  <c r="G184" i="6"/>
  <c r="G349" i="6"/>
  <c r="G350" i="6"/>
  <c r="G351" i="6"/>
  <c r="G352" i="6"/>
  <c r="G353" i="6"/>
  <c r="G354" i="6"/>
  <c r="G323" i="6"/>
  <c r="G261" i="6"/>
  <c r="G262" i="6"/>
  <c r="G301" i="6"/>
  <c r="G302" i="6"/>
  <c r="G70" i="6"/>
  <c r="G248" i="6"/>
  <c r="G249" i="6"/>
  <c r="G250" i="6"/>
  <c r="G251" i="6"/>
  <c r="G252" i="6"/>
  <c r="G253" i="6"/>
  <c r="G254" i="6"/>
  <c r="G255" i="6"/>
  <c r="G256" i="6"/>
  <c r="G257" i="6"/>
  <c r="G139" i="6"/>
  <c r="G140" i="6"/>
  <c r="G141" i="6"/>
  <c r="G142" i="6"/>
  <c r="G143" i="6"/>
  <c r="G144" i="6"/>
  <c r="G145" i="6"/>
  <c r="G146" i="6"/>
  <c r="G147" i="6"/>
  <c r="G2" i="6"/>
  <c r="G3" i="6"/>
  <c r="G4" i="6"/>
  <c r="G5" i="6"/>
  <c r="G6" i="6"/>
  <c r="G33" i="6"/>
  <c r="G34" i="6"/>
  <c r="G344" i="6"/>
  <c r="G229" i="6"/>
  <c r="G230" i="6"/>
  <c r="G295" i="6"/>
  <c r="G321" i="6"/>
  <c r="G223" i="6"/>
  <c r="G263" i="6"/>
  <c r="G264" i="6"/>
  <c r="G77" i="6"/>
  <c r="G83" i="6"/>
  <c r="G84" i="6"/>
  <c r="G85" i="6"/>
  <c r="G86" i="6"/>
  <c r="G87" i="6"/>
  <c r="G88" i="6"/>
  <c r="G89" i="6"/>
  <c r="G90" i="6"/>
  <c r="G91" i="6"/>
  <c r="G285" i="6"/>
  <c r="G286" i="6"/>
  <c r="G287" i="6"/>
  <c r="G288" i="6"/>
  <c r="G289" i="6"/>
  <c r="G290" i="6"/>
  <c r="G291" i="6"/>
  <c r="G292" i="6"/>
  <c r="G293" i="6"/>
  <c r="G200" i="6"/>
  <c r="G201" i="6"/>
  <c r="G202" i="6"/>
  <c r="G203" i="6"/>
  <c r="G39" i="6"/>
  <c r="G40" i="6"/>
  <c r="G41" i="6"/>
  <c r="G42" i="6"/>
  <c r="G43" i="6"/>
  <c r="G44" i="6"/>
  <c r="G135" i="6"/>
  <c r="G136" i="6"/>
  <c r="G137" i="6"/>
  <c r="G227" i="6"/>
  <c r="G113" i="6"/>
  <c r="G114" i="6"/>
  <c r="G115" i="6"/>
  <c r="G116" i="6"/>
  <c r="G117" i="6"/>
  <c r="G118" i="6"/>
  <c r="G119" i="6"/>
  <c r="G120" i="6"/>
  <c r="G121" i="6"/>
  <c r="G122" i="6"/>
  <c r="G204" i="6"/>
  <c r="G205" i="6"/>
  <c r="G206" i="6"/>
  <c r="G207" i="6"/>
  <c r="G208" i="6"/>
  <c r="G209" i="6"/>
  <c r="G210" i="6"/>
  <c r="G211" i="6"/>
  <c r="G212" i="6"/>
  <c r="G95" i="6"/>
  <c r="G96" i="6"/>
  <c r="G97" i="6"/>
  <c r="G98" i="6"/>
  <c r="G99" i="6"/>
  <c r="G100" i="6"/>
  <c r="G101" i="6"/>
  <c r="G102" i="6"/>
  <c r="G103" i="6"/>
  <c r="G104" i="6"/>
  <c r="G123" i="6"/>
  <c r="G124" i="6"/>
  <c r="G125" i="6"/>
  <c r="G126" i="6"/>
  <c r="G127" i="6"/>
  <c r="G106" i="6"/>
  <c r="G107" i="6"/>
  <c r="G108" i="6"/>
  <c r="G109" i="6"/>
  <c r="G110" i="6"/>
  <c r="G128" i="6"/>
  <c r="G129" i="6"/>
  <c r="G13" i="6"/>
  <c r="G14" i="6"/>
  <c r="G213" i="6"/>
  <c r="G214" i="6"/>
  <c r="G215" i="6"/>
  <c r="G216" i="6"/>
  <c r="G217" i="6"/>
  <c r="G218" i="6"/>
  <c r="G294" i="6"/>
  <c r="G130" i="6"/>
  <c r="G228" i="6"/>
  <c r="G138" i="6"/>
  <c r="G274" i="6"/>
  <c r="G334" i="6"/>
  <c r="G151" i="6"/>
  <c r="G272" i="6"/>
  <c r="G62" i="6"/>
  <c r="G335" i="6"/>
  <c r="G45" i="6"/>
  <c r="G333" i="6"/>
  <c r="G53" i="6"/>
  <c r="G31" i="6"/>
  <c r="G29" i="6"/>
  <c r="G149" i="6"/>
  <c r="G76" i="6"/>
  <c r="G131" i="6"/>
  <c r="G132" i="6"/>
  <c r="G133" i="6"/>
  <c r="G134" i="6"/>
  <c r="G267" i="6"/>
  <c r="G30" i="6"/>
  <c r="G360" i="6"/>
  <c r="G361" i="6"/>
  <c r="G362" i="6"/>
  <c r="G336" i="6"/>
  <c r="G26" i="6"/>
  <c r="G27" i="6"/>
  <c r="G324" i="6"/>
  <c r="G325" i="6"/>
  <c r="G265" i="6"/>
  <c r="G266" i="6"/>
  <c r="G50" i="6"/>
  <c r="G51" i="6"/>
  <c r="G52" i="6"/>
  <c r="G176" i="6"/>
  <c r="G177" i="6"/>
  <c r="G178" i="6"/>
  <c r="G158" i="6"/>
  <c r="G273" i="6"/>
  <c r="G148" i="6"/>
  <c r="G111" i="6"/>
  <c r="G112" i="6"/>
  <c r="G28" i="6"/>
  <c r="G20" i="6"/>
  <c r="G19" i="6"/>
  <c r="G309" i="6"/>
  <c r="G18" i="6"/>
  <c r="G7" i="6"/>
  <c r="G17" i="6"/>
  <c r="G258" i="6"/>
  <c r="G32" i="6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2" i="5"/>
  <c r="G86" i="1"/>
  <c r="G87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66" i="1"/>
  <c r="G67" i="1"/>
  <c r="G68" i="1"/>
  <c r="G69" i="1"/>
  <c r="G70" i="1"/>
  <c r="G71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32" i="1"/>
  <c r="G33" i="1"/>
  <c r="G34" i="1"/>
  <c r="G35" i="1"/>
  <c r="G36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788B771-C33F-43F1-85D0-11985E72CEA6}" keepAlive="1" name="Consulta - tblProductos" description="Conexión a la consulta 'tblProductos' en el libro." type="5" refreshedVersion="8" background="1" saveData="1">
    <dbPr connection="Provider=Microsoft.Mashup.OleDb.1;Data Source=$Workbook$;Location=tblProductos;Extended Properties=&quot;&quot;" command="SELECT * FROM [tblProductos]"/>
  </connection>
  <connection id="2" xr16:uid="{3939C15B-BA3E-4D76-A26B-31F9FC994FD7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BE79B4DF-63E2-4D67-B897-FA19C82C1546}" keepAlive="1" name="Query - proveedor" description="Connection to the 'proveedor' query in the workbook." type="5" refreshedVersion="8" background="1" saveData="1">
    <dbPr connection="Provider=Microsoft.Mashup.OleDb.1;Data Source=$Workbook$;Location=proveedor;Extended Properties=&quot;&quot;" command="SELECT * FROM [proveedor]"/>
  </connection>
  <connection id="4" xr16:uid="{33B4C9E5-6713-454A-BE34-C147BD933A04}" keepAlive="1" name="Query - RutaFacturas" description="Connection to the 'RutaFacturas' query in the workbook." type="5" refreshedVersion="0" background="1">
    <dbPr connection="Provider=Microsoft.Mashup.OleDb.1;Data Source=$Workbook$;Location=RutaFacturas;Extended Properties=&quot;&quot;" command="SELECT * FROM [RutaFacturas]"/>
  </connection>
  <connection id="5" xr16:uid="{CC08EF4C-879F-4159-976D-80D182E17DC9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6" xr16:uid="{ACF93DC3-5B69-433E-A449-0B03B37214B3}" keepAlive="1" name="Query - tblFacturas" description="Connection to the 'tblFacturas' query in the workbook." type="5" refreshedVersion="8" background="1" saveData="1">
    <dbPr connection="Provider=Microsoft.Mashup.OleDb.1;Data Source=$Workbook$;Location=tblFacturas;Extended Properties=&quot;&quot;" command="SELECT * FROM [tblFacturas]"/>
  </connection>
  <connection id="7" xr16:uid="{510EDE55-179C-4974-8AC2-E00DD16DD30F}" keepAlive="1" name="Query - tblFacturasDetalle" description="Connection to the 'tblFacturasDetalle' query in the workbook." type="5" refreshedVersion="8" background="1" saveData="1">
    <dbPr connection="Provider=Microsoft.Mashup.OleDb.1;Data Source=$Workbook$;Location=tblFacturasDetalle;Extended Properties=&quot;&quot;" command="SELECT * FROM [tblFacturasDetalle]"/>
  </connection>
  <connection id="8" xr16:uid="{2CE1A456-271B-41CC-BE5C-4A5CF3B83195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9" xr16:uid="{957C85A4-3968-4A68-9C9A-C909929DF525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</connections>
</file>

<file path=xl/sharedStrings.xml><?xml version="1.0" encoding="utf-8"?>
<sst xmlns="http://schemas.openxmlformats.org/spreadsheetml/2006/main" count="2848" uniqueCount="1230">
  <si>
    <t>FechaEmision</t>
  </si>
  <si>
    <t>CondicionVenta</t>
  </si>
  <si>
    <t>PlazoCredito</t>
  </si>
  <si>
    <t>MedioPago</t>
  </si>
  <si>
    <t>Otros</t>
  </si>
  <si>
    <t>2312000000500</t>
  </si>
  <si>
    <t>HARINA A GRANEL INSTAMASA 20 Kg-;1;200.000000;PT005</t>
  </si>
  <si>
    <t>100001010000122955</t>
  </si>
  <si>
    <t>3101065647</t>
  </si>
  <si>
    <t>IdPersoneria</t>
  </si>
  <si>
    <t>nombre</t>
  </si>
  <si>
    <t>NombreComercial</t>
  </si>
  <si>
    <t>NumTelefono</t>
  </si>
  <si>
    <t>CorreoElectronico</t>
  </si>
  <si>
    <t>facturaID</t>
  </si>
  <si>
    <t>Codigo</t>
  </si>
  <si>
    <t>Cantidad</t>
  </si>
  <si>
    <t>UnidadMedidaComercial</t>
  </si>
  <si>
    <t>UnidadMedida</t>
  </si>
  <si>
    <t>Detalle</t>
  </si>
  <si>
    <t>PrecioUnitario</t>
  </si>
  <si>
    <t>MontoTotal</t>
  </si>
  <si>
    <t>MontoDescuento</t>
  </si>
  <si>
    <t>NaturalezaDescuento</t>
  </si>
  <si>
    <t>ImpuestoNeto</t>
  </si>
  <si>
    <t>Símbolo Descripción</t>
  </si>
  <si>
    <t>Sp Servicios Profesionales</t>
  </si>
  <si>
    <t>m Metro</t>
  </si>
  <si>
    <t>kg Kilogramo</t>
  </si>
  <si>
    <t>s Segundo</t>
  </si>
  <si>
    <t>A Ampere</t>
  </si>
  <si>
    <t>K Kelvin</t>
  </si>
  <si>
    <t>mol Mol</t>
  </si>
  <si>
    <t>cd Candela</t>
  </si>
  <si>
    <t>m² metro cuadrado</t>
  </si>
  <si>
    <t>m³ metro cúbico</t>
  </si>
  <si>
    <t>m/s metro por segundo</t>
  </si>
  <si>
    <t>m/s² metro por segundo cuadrado</t>
  </si>
  <si>
    <t>1/m 1 por metro</t>
  </si>
  <si>
    <t>kg/m³ kilogramo por metro cúbico</t>
  </si>
  <si>
    <t>A/m² ampere por metro cuadrado</t>
  </si>
  <si>
    <t>A/m ampere por metro</t>
  </si>
  <si>
    <t>mol/m³ mol por metro cúbico</t>
  </si>
  <si>
    <t>cd/m² candela por metro cuadrado</t>
  </si>
  <si>
    <t>1 uno (indice de refracción)</t>
  </si>
  <si>
    <t>rad radián</t>
  </si>
  <si>
    <t>sr estereorradiánHz hertz</t>
  </si>
  <si>
    <t>N newton</t>
  </si>
  <si>
    <t>Pa pascal</t>
  </si>
  <si>
    <t>J Joule</t>
  </si>
  <si>
    <t>W Watt</t>
  </si>
  <si>
    <t>C coulomb</t>
  </si>
  <si>
    <t>V volt</t>
  </si>
  <si>
    <t>F farad</t>
  </si>
  <si>
    <t>Ω ohm</t>
  </si>
  <si>
    <t>S siemens</t>
  </si>
  <si>
    <t>Wb weber</t>
  </si>
  <si>
    <t>T tesla</t>
  </si>
  <si>
    <t>H henry</t>
  </si>
  <si>
    <t>°C grado Celsius</t>
  </si>
  <si>
    <t>lm lumen</t>
  </si>
  <si>
    <t>lx lux</t>
  </si>
  <si>
    <t>Bq Becquerel</t>
  </si>
  <si>
    <t>Gy gray</t>
  </si>
  <si>
    <t>Sv sievert</t>
  </si>
  <si>
    <t>kat katal</t>
  </si>
  <si>
    <t>Pa·s pascal segundo</t>
  </si>
  <si>
    <t>N·m newton metro</t>
  </si>
  <si>
    <t>N/m newton por metro</t>
  </si>
  <si>
    <t>rad/s radián por segundo</t>
  </si>
  <si>
    <t>rad/s² radián por segundo cuadrado</t>
  </si>
  <si>
    <t>W/m² watt por metro cuadrado</t>
  </si>
  <si>
    <t>J/K joule por kelvin</t>
  </si>
  <si>
    <t>J/(kg·K) joule por kilogramo kelvin</t>
  </si>
  <si>
    <t>J/kg joule por kilogramo</t>
  </si>
  <si>
    <t>W/(m·K) watt por metro kevin</t>
  </si>
  <si>
    <t>J/m³ joule por metro cúbico</t>
  </si>
  <si>
    <t>V/mC/m³ coulomb por metro cúbico</t>
  </si>
  <si>
    <t>C/m² coulomb por metro cuadrado</t>
  </si>
  <si>
    <t>F/m farad por metro</t>
  </si>
  <si>
    <t>H/m henry por metro</t>
  </si>
  <si>
    <t>J/mol joule por mol</t>
  </si>
  <si>
    <t>J/(mol·K) joule por mol kelvin</t>
  </si>
  <si>
    <t>C/kg coulomb por kilogramo</t>
  </si>
  <si>
    <t>Gy/s gray por segundo</t>
  </si>
  <si>
    <t>W/sr watt por estereorradián</t>
  </si>
  <si>
    <t>W/(m²·sr) watt por metro cuadrado estereorradián</t>
  </si>
  <si>
    <t>kat/m³ katal por metro cúbico</t>
  </si>
  <si>
    <t>min minuto</t>
  </si>
  <si>
    <t>h hora</t>
  </si>
  <si>
    <t>d día</t>
  </si>
  <si>
    <t>º grado</t>
  </si>
  <si>
    <t>´ minuto</t>
  </si>
  <si>
    <t>´´ segundo</t>
  </si>
  <si>
    <t>L litro</t>
  </si>
  <si>
    <t>t tonelada</t>
  </si>
  <si>
    <t>Np neper</t>
  </si>
  <si>
    <t>B bel</t>
  </si>
  <si>
    <t>eV electronvolt</t>
  </si>
  <si>
    <t>u unidad de masa atómica unificada</t>
  </si>
  <si>
    <t>ua unidad astronómica</t>
  </si>
  <si>
    <t>Unid Unidad</t>
  </si>
  <si>
    <t>Gal Galón</t>
  </si>
  <si>
    <t>g Gramo</t>
  </si>
  <si>
    <t>Km Kilometro</t>
  </si>
  <si>
    <t>ln pulgada</t>
  </si>
  <si>
    <t>cm centimetro</t>
  </si>
  <si>
    <t>mL mililitro</t>
  </si>
  <si>
    <t>mmOz Onzas</t>
  </si>
  <si>
    <t>(Se debe</t>
  </si>
  <si>
    <t>de indicar el</t>
  </si>
  <si>
    <t>Símbolo de</t>
  </si>
  <si>
    <t>la medida a</t>
  </si>
  <si>
    <t>utilizar)</t>
  </si>
  <si>
    <t>Se debe de indicar la Descripción de medida a</t>
  </si>
  <si>
    <t>utilizar</t>
  </si>
  <si>
    <t>Símbolo</t>
  </si>
  <si>
    <t xml:space="preserve"> Descripción</t>
  </si>
  <si>
    <t>Sp</t>
  </si>
  <si>
    <t xml:space="preserve"> Servicios Profesionales</t>
  </si>
  <si>
    <t>m</t>
  </si>
  <si>
    <t xml:space="preserve"> Metro</t>
  </si>
  <si>
    <t>kg</t>
  </si>
  <si>
    <t xml:space="preserve"> Kilogramo</t>
  </si>
  <si>
    <t>s</t>
  </si>
  <si>
    <t xml:space="preserve"> Segundo</t>
  </si>
  <si>
    <t>A</t>
  </si>
  <si>
    <t xml:space="preserve"> Ampere</t>
  </si>
  <si>
    <t>K</t>
  </si>
  <si>
    <t xml:space="preserve"> Kelvin</t>
  </si>
  <si>
    <t>mol</t>
  </si>
  <si>
    <t xml:space="preserve"> Mol</t>
  </si>
  <si>
    <t>cd</t>
  </si>
  <si>
    <t xml:space="preserve"> Candela</t>
  </si>
  <si>
    <t>m²</t>
  </si>
  <si>
    <t xml:space="preserve"> metro cuadrado</t>
  </si>
  <si>
    <t>m³</t>
  </si>
  <si>
    <t xml:space="preserve"> metro cúbico</t>
  </si>
  <si>
    <t>m/s</t>
  </si>
  <si>
    <t xml:space="preserve"> metro por segundo</t>
  </si>
  <si>
    <t>m/s²</t>
  </si>
  <si>
    <t xml:space="preserve"> metro por segundo cuadrado</t>
  </si>
  <si>
    <t>1/m</t>
  </si>
  <si>
    <t xml:space="preserve"> 1 por metro</t>
  </si>
  <si>
    <t>kg/m³</t>
  </si>
  <si>
    <t xml:space="preserve"> kilogramo por metro cúbico</t>
  </si>
  <si>
    <t>A/m²</t>
  </si>
  <si>
    <t xml:space="preserve"> ampere por metro cuadrado</t>
  </si>
  <si>
    <t>A/m</t>
  </si>
  <si>
    <t xml:space="preserve"> ampere por metro</t>
  </si>
  <si>
    <t>mol/m³</t>
  </si>
  <si>
    <t xml:space="preserve"> mol por metro cúbico</t>
  </si>
  <si>
    <t>cd/m²</t>
  </si>
  <si>
    <t xml:space="preserve"> candela por metro cuadrado</t>
  </si>
  <si>
    <t xml:space="preserve"> uno (indice de refracción)</t>
  </si>
  <si>
    <t>rad</t>
  </si>
  <si>
    <t xml:space="preserve"> radián</t>
  </si>
  <si>
    <t>sr</t>
  </si>
  <si>
    <t xml:space="preserve"> estereorradián</t>
  </si>
  <si>
    <t>Hz</t>
  </si>
  <si>
    <t xml:space="preserve"> hertz</t>
  </si>
  <si>
    <t>N</t>
  </si>
  <si>
    <t xml:space="preserve"> newton</t>
  </si>
  <si>
    <t>Pa</t>
  </si>
  <si>
    <t xml:space="preserve"> pascal</t>
  </si>
  <si>
    <t>J</t>
  </si>
  <si>
    <t xml:space="preserve"> Joule</t>
  </si>
  <si>
    <t>W</t>
  </si>
  <si>
    <t xml:space="preserve"> Watt</t>
  </si>
  <si>
    <t>C</t>
  </si>
  <si>
    <t xml:space="preserve"> coulomb</t>
  </si>
  <si>
    <t>V</t>
  </si>
  <si>
    <t xml:space="preserve"> volt</t>
  </si>
  <si>
    <t>F</t>
  </si>
  <si>
    <t xml:space="preserve"> farad</t>
  </si>
  <si>
    <t>Ω</t>
  </si>
  <si>
    <t xml:space="preserve"> ohm</t>
  </si>
  <si>
    <t>S</t>
  </si>
  <si>
    <t xml:space="preserve"> siemens</t>
  </si>
  <si>
    <t>Wb</t>
  </si>
  <si>
    <t xml:space="preserve"> weber</t>
  </si>
  <si>
    <t>T</t>
  </si>
  <si>
    <t xml:space="preserve"> tesla</t>
  </si>
  <si>
    <t>H</t>
  </si>
  <si>
    <t xml:space="preserve"> henry</t>
  </si>
  <si>
    <t>°C</t>
  </si>
  <si>
    <t xml:space="preserve"> grado Celsius</t>
  </si>
  <si>
    <t>lm</t>
  </si>
  <si>
    <t xml:space="preserve"> lumen</t>
  </si>
  <si>
    <t>lx</t>
  </si>
  <si>
    <t xml:space="preserve"> lux</t>
  </si>
  <si>
    <t>Bq</t>
  </si>
  <si>
    <t xml:space="preserve"> Becquerel</t>
  </si>
  <si>
    <t>Gy</t>
  </si>
  <si>
    <t xml:space="preserve"> gray</t>
  </si>
  <si>
    <t>Sv</t>
  </si>
  <si>
    <t xml:space="preserve"> sievert</t>
  </si>
  <si>
    <t>kat</t>
  </si>
  <si>
    <t xml:space="preserve"> katal</t>
  </si>
  <si>
    <t>Pa·s</t>
  </si>
  <si>
    <t xml:space="preserve"> pascal segundo</t>
  </si>
  <si>
    <t>N·m</t>
  </si>
  <si>
    <t xml:space="preserve"> newton metro</t>
  </si>
  <si>
    <t>N/m</t>
  </si>
  <si>
    <t xml:space="preserve"> newton por metro</t>
  </si>
  <si>
    <t>rad/s</t>
  </si>
  <si>
    <t xml:space="preserve"> radián por segundo</t>
  </si>
  <si>
    <t>rad/s²</t>
  </si>
  <si>
    <t xml:space="preserve"> radián por segundo cuadrado</t>
  </si>
  <si>
    <t>W/m²</t>
  </si>
  <si>
    <t xml:space="preserve"> watt por metro cuadrado</t>
  </si>
  <si>
    <t>J/K</t>
  </si>
  <si>
    <t xml:space="preserve"> joule por kelvin</t>
  </si>
  <si>
    <t>J/(kg·K)</t>
  </si>
  <si>
    <t xml:space="preserve"> joule por kilogramo kelvin</t>
  </si>
  <si>
    <t>J/kg</t>
  </si>
  <si>
    <t xml:space="preserve"> joule por kilogramo</t>
  </si>
  <si>
    <t>W/(m·K)</t>
  </si>
  <si>
    <t xml:space="preserve"> watt por metro kevin</t>
  </si>
  <si>
    <t>J/m³</t>
  </si>
  <si>
    <t xml:space="preserve"> joule por metro cúbico</t>
  </si>
  <si>
    <t>V/mC/m³</t>
  </si>
  <si>
    <t xml:space="preserve"> coulomb por metro cúbico</t>
  </si>
  <si>
    <t>C/m²</t>
  </si>
  <si>
    <t xml:space="preserve"> coulomb por metro cuadrado</t>
  </si>
  <si>
    <t>F/m</t>
  </si>
  <si>
    <t xml:space="preserve"> farad por metro</t>
  </si>
  <si>
    <t>H/m</t>
  </si>
  <si>
    <t xml:space="preserve"> henry por metro</t>
  </si>
  <si>
    <t>J/mol</t>
  </si>
  <si>
    <t xml:space="preserve"> joule por mol</t>
  </si>
  <si>
    <t>J/(mol·K)</t>
  </si>
  <si>
    <t xml:space="preserve"> joule por mol kelvin</t>
  </si>
  <si>
    <t>C/kg</t>
  </si>
  <si>
    <t xml:space="preserve"> coulomb por kilogramo</t>
  </si>
  <si>
    <t>Gy/s</t>
  </si>
  <si>
    <t xml:space="preserve"> gray por segundo</t>
  </si>
  <si>
    <t>W/sr</t>
  </si>
  <si>
    <t xml:space="preserve"> watt por estereorradián</t>
  </si>
  <si>
    <t>W/(m²·sr)</t>
  </si>
  <si>
    <t xml:space="preserve"> watt por metro cuadrado estereorradián</t>
  </si>
  <si>
    <t>kat/m³</t>
  </si>
  <si>
    <t xml:space="preserve"> katal por metro cúbico</t>
  </si>
  <si>
    <t>min</t>
  </si>
  <si>
    <t xml:space="preserve"> minuto</t>
  </si>
  <si>
    <t>h</t>
  </si>
  <si>
    <t xml:space="preserve"> hora</t>
  </si>
  <si>
    <t>d</t>
  </si>
  <si>
    <t xml:space="preserve"> día</t>
  </si>
  <si>
    <t>º</t>
  </si>
  <si>
    <t xml:space="preserve"> grado</t>
  </si>
  <si>
    <t>´</t>
  </si>
  <si>
    <t>´´</t>
  </si>
  <si>
    <t xml:space="preserve"> segundo</t>
  </si>
  <si>
    <t>L</t>
  </si>
  <si>
    <t xml:space="preserve"> litro</t>
  </si>
  <si>
    <t>t</t>
  </si>
  <si>
    <t xml:space="preserve"> tonelada</t>
  </si>
  <si>
    <t>Np</t>
  </si>
  <si>
    <t xml:space="preserve"> neper</t>
  </si>
  <si>
    <t>B</t>
  </si>
  <si>
    <t xml:space="preserve"> bel</t>
  </si>
  <si>
    <t>eV</t>
  </si>
  <si>
    <t xml:space="preserve"> electronvolt</t>
  </si>
  <si>
    <t>u</t>
  </si>
  <si>
    <t xml:space="preserve"> unidad de masa atómica unificada</t>
  </si>
  <si>
    <t>ua</t>
  </si>
  <si>
    <t xml:space="preserve"> unidad astronómica</t>
  </si>
  <si>
    <t>Unid</t>
  </si>
  <si>
    <t xml:space="preserve"> Unidad</t>
  </si>
  <si>
    <t>Gal</t>
  </si>
  <si>
    <t xml:space="preserve"> Galón</t>
  </si>
  <si>
    <t>g</t>
  </si>
  <si>
    <t xml:space="preserve"> Gramo</t>
  </si>
  <si>
    <t>Km</t>
  </si>
  <si>
    <t xml:space="preserve"> Kilometro</t>
  </si>
  <si>
    <t>ln</t>
  </si>
  <si>
    <t xml:space="preserve"> pulgada</t>
  </si>
  <si>
    <t>cm</t>
  </si>
  <si>
    <t xml:space="preserve"> centimetro</t>
  </si>
  <si>
    <t>mL</t>
  </si>
  <si>
    <t xml:space="preserve"> mililitro</t>
  </si>
  <si>
    <t>mm</t>
  </si>
  <si>
    <t xml:space="preserve"> milimetro</t>
  </si>
  <si>
    <t>Oz</t>
  </si>
  <si>
    <t xml:space="preserve"> Onzas</t>
  </si>
  <si>
    <t>(Se debe de indicar el Símbolo de la medida a utilizar)</t>
  </si>
  <si>
    <t xml:space="preserve">Efectivo. </t>
  </si>
  <si>
    <t xml:space="preserve">Tarjeta. </t>
  </si>
  <si>
    <t xml:space="preserve">Cheque. </t>
  </si>
  <si>
    <t xml:space="preserve">Transferencia – depósito bancario. </t>
  </si>
  <si>
    <t xml:space="preserve">Recaudado por terceros. </t>
  </si>
  <si>
    <t xml:space="preserve">Medios de pago </t>
  </si>
  <si>
    <t>Código</t>
  </si>
  <si>
    <t>Otros (se debe indicar el medio de pago).</t>
  </si>
  <si>
    <t>Condiciones de la venta Código</t>
  </si>
  <si>
    <t xml:space="preserve">Contado. </t>
  </si>
  <si>
    <t xml:space="preserve">Crédito. </t>
  </si>
  <si>
    <t xml:space="preserve">Consignación. </t>
  </si>
  <si>
    <t xml:space="preserve">Apartado. </t>
  </si>
  <si>
    <t xml:space="preserve">Arrendamiento con opción de compra. </t>
  </si>
  <si>
    <t xml:space="preserve">Arrendamiento en función financiera. </t>
  </si>
  <si>
    <t>Otros (se debe indicar la condición de la venta)</t>
  </si>
  <si>
    <t>3101109180</t>
  </si>
  <si>
    <t>2131300009900</t>
  </si>
  <si>
    <t>PAPAS CONGELADAS TRADICIONAL 10 MM FARM FRITES BOLSA 2 K</t>
  </si>
  <si>
    <t>800001010000045216</t>
  </si>
  <si>
    <t>3101173639</t>
  </si>
  <si>
    <t>2170000000600</t>
  </si>
  <si>
    <t>ACEITE MEZCLA CORONA 500 mL X 12 u</t>
  </si>
  <si>
    <t>ACEITE MEZCLA CORONA 900 mL X 20 u</t>
  </si>
  <si>
    <t>2161200009900</t>
  </si>
  <si>
    <t>ACEITE SOYA CLOVER 17 L X 1 u</t>
  </si>
  <si>
    <t>2170000000300</t>
  </si>
  <si>
    <t>MANTECA CLOVER CHUB 460 g X 40 u</t>
  </si>
  <si>
    <t>2165200000200</t>
  </si>
  <si>
    <t>ACEITE OLEINA DOROFRIT 5 17 L X 1 u</t>
  </si>
  <si>
    <t>2372100000100</t>
  </si>
  <si>
    <t>SOPA INSTANTANEA MARUCHAN POLLO VASO 64 g X 12 u</t>
  </si>
  <si>
    <t>1200001010000040137</t>
  </si>
  <si>
    <t>3101289929</t>
  </si>
  <si>
    <t>2449006009900</t>
  </si>
  <si>
    <t>Leche coco Coco López 400ml</t>
  </si>
  <si>
    <t>2149500000500</t>
  </si>
  <si>
    <t>Crema coco Coco López 425g</t>
  </si>
  <si>
    <t>3219301000000</t>
  </si>
  <si>
    <t>Papel higiénico 400m</t>
  </si>
  <si>
    <t>3101028782</t>
  </si>
  <si>
    <t>3331100010000</t>
  </si>
  <si>
    <t>Super</t>
  </si>
  <si>
    <t>100001010000009062</t>
  </si>
  <si>
    <t>3102811909</t>
  </si>
  <si>
    <t>6339900000000</t>
  </si>
  <si>
    <t>CASADO 4000</t>
  </si>
  <si>
    <t>800001010000043009</t>
  </si>
  <si>
    <t>MANTECA CORONA CHUB 1000 g X 20 u</t>
  </si>
  <si>
    <t>reorden</t>
  </si>
  <si>
    <t>604200165</t>
  </si>
  <si>
    <t>3101207227</t>
  </si>
  <si>
    <t>3101105734</t>
  </si>
  <si>
    <t>3101445448</t>
  </si>
  <si>
    <t>3101713085</t>
  </si>
  <si>
    <t>3004045002</t>
  </si>
  <si>
    <t>3101065803</t>
  </si>
  <si>
    <t>3102738982</t>
  </si>
  <si>
    <t>3101135332</t>
  </si>
  <si>
    <t>3101072599</t>
  </si>
  <si>
    <t>3101137584</t>
  </si>
  <si>
    <t>3101312080</t>
  </si>
  <si>
    <t>3101827461</t>
  </si>
  <si>
    <t>3101196511</t>
  </si>
  <si>
    <t>3007042036</t>
  </si>
  <si>
    <t>3101172267</t>
  </si>
  <si>
    <t>3101052164</t>
  </si>
  <si>
    <t>3101231707</t>
  </si>
  <si>
    <t>3101011173</t>
  </si>
  <si>
    <t>3101341755</t>
  </si>
  <si>
    <t>3102866836</t>
  </si>
  <si>
    <t>3101162026</t>
  </si>
  <si>
    <t>3101350360</t>
  </si>
  <si>
    <t>100001010000005585</t>
  </si>
  <si>
    <t>8439200000000</t>
  </si>
  <si>
    <t>Mensual 7,000 IVAI</t>
  </si>
  <si>
    <t>700005010000023748</t>
  </si>
  <si>
    <t>3632099039900</t>
  </si>
  <si>
    <t>PAJILLAS 400 UNDS</t>
  </si>
  <si>
    <t>3191200990300</t>
  </si>
  <si>
    <t>Palillos dientes</t>
  </si>
  <si>
    <t>1200007010000016832</t>
  </si>
  <si>
    <t>3533401000000</t>
  </si>
  <si>
    <t>Esponja 10unds</t>
  </si>
  <si>
    <t>3641001999900</t>
  </si>
  <si>
    <t>Bolsas 100und 45.7X48.1cm</t>
  </si>
  <si>
    <t>Bolsas basura 50und grande</t>
  </si>
  <si>
    <t>200001010000076594</t>
  </si>
  <si>
    <t>Super - 599260</t>
  </si>
  <si>
    <t>100002010000181919</t>
  </si>
  <si>
    <t>Super - 1210520</t>
  </si>
  <si>
    <t>100001010000009288</t>
  </si>
  <si>
    <t>CASADO 3500</t>
  </si>
  <si>
    <t>100001010000135159</t>
  </si>
  <si>
    <t>2124203029900</t>
  </si>
  <si>
    <t>GDC TROZOS ACEITE.VEG 140G 48U</t>
  </si>
  <si>
    <t>100002010000473872</t>
  </si>
  <si>
    <t>2316100000100</t>
  </si>
  <si>
    <t>ARROZ TIO PELON COSECHA ESP 96/4 18K</t>
  </si>
  <si>
    <t>2352001010000</t>
  </si>
  <si>
    <t>AZUCAR DOA MARIA SOBRES 5G 1X100U</t>
  </si>
  <si>
    <t>2399501990000</t>
  </si>
  <si>
    <t>SALSA LIZANO REGULAR PLAST280ML BT</t>
  </si>
  <si>
    <t>100002010000475481</t>
  </si>
  <si>
    <t>ARROZ PRONUTRE 99% 18K</t>
  </si>
  <si>
    <t>2399908000200</t>
  </si>
  <si>
    <t xml:space="preserve">SAL SOL REFINADA C/F 500G BO  B25 </t>
  </si>
  <si>
    <t>2222900000100</t>
  </si>
  <si>
    <t>CREMA DULCE DOS PINOS 250ML 9U TB</t>
  </si>
  <si>
    <t>100002010000480233</t>
  </si>
  <si>
    <t>2391102010200</t>
  </si>
  <si>
    <t>CAFE VOLIO PURO 250G</t>
  </si>
  <si>
    <t>2139999000900</t>
  </si>
  <si>
    <t>MAIZ DULCE VALLE FRESCO 400G</t>
  </si>
  <si>
    <t>2227000000100</t>
  </si>
  <si>
    <t>HEL  +PRO CHO/CHP CHO-PIN</t>
  </si>
  <si>
    <t>2224100000300</t>
  </si>
  <si>
    <t>QUESO CREM LIGHT-210G TAZ</t>
  </si>
  <si>
    <t>Q.CREMA T.AMERIC 100 GR</t>
  </si>
  <si>
    <t>2224100000200</t>
  </si>
  <si>
    <t>LACTOCREMA -210 GR TAZA</t>
  </si>
  <si>
    <t>2223099030200</t>
  </si>
  <si>
    <t>NAT. GRANJA C/SAL 300 GR.</t>
  </si>
  <si>
    <t>7000001010000227082</t>
  </si>
  <si>
    <t>200001010000108546</t>
  </si>
  <si>
    <t>2139999001200</t>
  </si>
  <si>
    <t>(C2277-447494) RICHLY GARBANZO 220GR 1X48</t>
  </si>
  <si>
    <t>(C2346-442673) RICHLY GARBANZOS 20 OZ/576G 1X24</t>
  </si>
  <si>
    <t>100001010000159169</t>
  </si>
  <si>
    <t>3432002000200</t>
  </si>
  <si>
    <t>ACHIOTICO ACHIOTE 1/6/850 GR</t>
  </si>
  <si>
    <t>100001010000159170</t>
  </si>
  <si>
    <t>Lin. Bonif. 1 - ACHIOTICO ACHIOTE 1/6/850 GR</t>
  </si>
  <si>
    <t>100001010000160018</t>
  </si>
  <si>
    <t>3533199000000</t>
  </si>
  <si>
    <t>SANI TAB SURTIDO 50G 1X72</t>
  </si>
  <si>
    <t>100001030000052488</t>
  </si>
  <si>
    <t>ACHIOTICO ACHIOTE  1/24/215 GR</t>
  </si>
  <si>
    <t>PAPAS CONGELADAS 10 MM STAR FRITES 2 K</t>
  </si>
  <si>
    <t>100001010000303261</t>
  </si>
  <si>
    <t>3219302030100</t>
  </si>
  <si>
    <t>TOALLA PULL OUT ECONAT 135M 1X6 852226A</t>
  </si>
  <si>
    <t>100001010000304554</t>
  </si>
  <si>
    <t>100002010000353148</t>
  </si>
  <si>
    <t>100002010000357978</t>
  </si>
  <si>
    <t>SALSA MOSTAZA PIPPO GALON X4</t>
  </si>
  <si>
    <t>100103010000005092</t>
  </si>
  <si>
    <t>3215201010100</t>
  </si>
  <si>
    <t>Bolsas 2lb Kraft Papel 1000unid</t>
  </si>
  <si>
    <t>Bolsa Portacubierto PURA VIDA 1000 unid</t>
  </si>
  <si>
    <t>3219304000000</t>
  </si>
  <si>
    <t>Servilleta Xpressnap FIT 703152 Tork 18x240 Blanca</t>
  </si>
  <si>
    <t>3694000010100</t>
  </si>
  <si>
    <t>Tapa #8 EB C/Boquilla Abrefacil Negra 10x100 unid</t>
  </si>
  <si>
    <t>100102010000002297</t>
  </si>
  <si>
    <t>3649002009900</t>
  </si>
  <si>
    <t>Bandeja 8x8 C/D Plast PS BIONATURE 200 unid</t>
  </si>
  <si>
    <t>100111010000000308</t>
  </si>
  <si>
    <t>Cuchara #8cm Blanca 500 unid</t>
  </si>
  <si>
    <t>100111010000000583</t>
  </si>
  <si>
    <t>100010010000163218</t>
  </si>
  <si>
    <t>GASOLINA SUPER</t>
  </si>
  <si>
    <t>800001010000044243</t>
  </si>
  <si>
    <t>ACHIOTE LOS PATITOS TAZA 850 g X 1 X 6 u</t>
  </si>
  <si>
    <t>2170000000200</t>
  </si>
  <si>
    <t>MARGARINA NUMAR SUAVE VASIJA 250 g X 24 u</t>
  </si>
  <si>
    <t>CAFE 1820 CLASICO MOLIDO 250 g X 48 u</t>
  </si>
  <si>
    <t>800001010000043374</t>
  </si>
  <si>
    <t>MARGARINA CORONA BLOQUE 12.48 kg</t>
  </si>
  <si>
    <t>MARGARINA NUMAR TASTE VASIJA 215 g X 24 u</t>
  </si>
  <si>
    <t>800001010000043742</t>
  </si>
  <si>
    <t>ACEITE MEZCLA CORONA 4.73 L X 4 u</t>
  </si>
  <si>
    <t>800001010000045763</t>
  </si>
  <si>
    <t>ACHIOTE LOS PATITOS TAZA 90 g X 12 X 10 u</t>
  </si>
  <si>
    <t>SOPA INSTANTANEA MARUCHAN CAMARON VASO 64 g X 12 u</t>
  </si>
  <si>
    <t>SOPA INSTANTANEA MARUCHAN CARNE RES VASO 64 g X 12 u</t>
  </si>
  <si>
    <t>SOPA INSTANTANEA MARUCHAN CAMARON PICANTE VASO 64 g X 12 u</t>
  </si>
  <si>
    <t>SOPA INSTANTANEA MARUCHAN POLLO PICANTE VASO 64 g X 12 u</t>
  </si>
  <si>
    <t>100001010001062455</t>
  </si>
  <si>
    <t>2349001010200</t>
  </si>
  <si>
    <t>MTEZDE401 EZSERV BIO CONTENEDOR 8" CACO3 BCO C/D 650ML(CE)50U/P 4P/C 18C/T CAJA</t>
  </si>
  <si>
    <t>MTEZDE418 EZSERV BIO CONTENEDOR 8" CACO3 BCO S/D 750ML(CP)50U/P 4P/C 35C/T CAJA</t>
  </si>
  <si>
    <t>MTEZDE450 EZSERV BIO CONTENEDOR 8" CACO3 NGR C/D 850ML(CE)50U/P 4P/C 12C/T CAJA</t>
  </si>
  <si>
    <t>MTMSAG08 MI SABOR ACEITE VEGETAL DE ALTO RENDIMIENTO 20L JERRY 32U/T UND</t>
  </si>
  <si>
    <t>MTMSGR78 MISABOR ARROZ SELECTO 95% GRANO ENTERO 5KG 4U/B 45B/T BOLSA</t>
  </si>
  <si>
    <t>MMTGIAG05 GIROL CLASICO ACEITES 900ML 15U/C 40C/T BOTELLA</t>
  </si>
  <si>
    <t>2000007010000521157</t>
  </si>
  <si>
    <t>Super - 1282469</t>
  </si>
  <si>
    <t>2000007010000528168</t>
  </si>
  <si>
    <t>Super - 1300194</t>
  </si>
  <si>
    <t>100001010000124097</t>
  </si>
  <si>
    <t>HARINA A GRANEL INSTAMASA 20 Kg-;1;100.000000;PT005</t>
  </si>
  <si>
    <t>100001010000125133</t>
  </si>
  <si>
    <t>HARINA A GRANEL INSTAMASA 20 Kg;1;120.000000;PT005</t>
  </si>
  <si>
    <t>BULTO MASA DOÑA BLANCA 1X10X750g;1;7.500000;PT168</t>
  </si>
  <si>
    <t>100001010000125211</t>
  </si>
  <si>
    <t>HARINA A GRANEL INSTAMASA 20 Kg-;1;360.000000;PT005</t>
  </si>
  <si>
    <t>100001010000126121</t>
  </si>
  <si>
    <t>BULTO MASA DOÑA BLANCA 1X10X750g-;1;45.000000;PT168</t>
  </si>
  <si>
    <t>BULTO MASA DOÑA BLANCA 1X10X750g-;1;7.500000;PT168</t>
  </si>
  <si>
    <t>100001010000002131</t>
  </si>
  <si>
    <t>0321199990000</t>
  </si>
  <si>
    <t>CHICLE TRIDENT 5 S YERBABUENA</t>
  </si>
  <si>
    <t>3569107009900</t>
  </si>
  <si>
    <t>CURITAS CUREFAST X100</t>
  </si>
  <si>
    <t>2367000000500</t>
  </si>
  <si>
    <t>HALLS NEGRO EXTRA FUERTE 30X12</t>
  </si>
  <si>
    <t>PAPAS PRINGLES PEQ. CEBOLLA X1</t>
  </si>
  <si>
    <t>2449001000000</t>
  </si>
  <si>
    <t>TANG TE FRIO MELOCOTON 12X12</t>
  </si>
  <si>
    <t>PALETA SANDIA WILLY</t>
  </si>
  <si>
    <t>MAIZ DULCE ENLATADO 184G X48 S</t>
  </si>
  <si>
    <t>100001010000304023</t>
  </si>
  <si>
    <t>2399999002200</t>
  </si>
  <si>
    <t>FRIJOL ROJO  TROJA 1 X 15X 700 GRS;;0.000000;;14999.000000;;IVA01;;94500.000000;;13500.000000</t>
  </si>
  <si>
    <t>100001010000304908</t>
  </si>
  <si>
    <t>FRIJOL NEGRO TROJA 1 X 15 X 700 GRS;;0.000000;;14999.000000;;IVA01;;27000.000000;;13500.000000</t>
  </si>
  <si>
    <t>FRIJOL ROJO  TROJA 1 X 15X 700 GRS;;0.000000;;14999.000000;;IVA01;;81000.000000;;13500.000000</t>
  </si>
  <si>
    <t>100001010000305998</t>
  </si>
  <si>
    <t>FRIJOL ROJO  TROJA 1 X 15X 700 GRS;;0.000000;;14999.000000;;IVA01;;40500.000000;;13500.000000</t>
  </si>
  <si>
    <t>100001010000306986</t>
  </si>
  <si>
    <t>FRIJOL ROJO  TROJA 1 X 15X 700 GRS;;0.000000;;14999.000000;;IVA01;;67500.000000;;13500.000000</t>
  </si>
  <si>
    <t>200002010000068753</t>
  </si>
  <si>
    <t>AZUCAR BLANCO DONA MARIA 5 KG</t>
  </si>
  <si>
    <t>200002010000069022</t>
  </si>
  <si>
    <t>AZUCAR BLANCO DONA MARIA 1 KG</t>
  </si>
  <si>
    <t>200002010000069283</t>
  </si>
  <si>
    <t>AZUCAR BLANCO DOÑA MARIA SACHETS 12KG</t>
  </si>
  <si>
    <t>200002010000069510</t>
  </si>
  <si>
    <t>AZÚCAR DOÑA MARIA SACHET 100 SOBRES 11+1</t>
  </si>
  <si>
    <t>100001010001735597</t>
  </si>
  <si>
    <t>2165200009900</t>
  </si>
  <si>
    <t>ACEITE DE OLEINA DE PALMA P/FREIR MFS 1/17 LT</t>
  </si>
  <si>
    <t>2211001020200</t>
  </si>
  <si>
    <t>LECHE SEMIDESCREMADA 2% FOODIE 1/12 LT</t>
  </si>
  <si>
    <t>2113300020100</t>
  </si>
  <si>
    <t>COSTILLA DE CERDO ST. LOUIS (P/KG)</t>
  </si>
  <si>
    <t>100001010001740027</t>
  </si>
  <si>
    <t>MARGARINA HOJALDRE MFS 7/2KG (14KG)</t>
  </si>
  <si>
    <t>MARGARINA PASTELERA MFS 6/2.27 KG(13.6KG)</t>
  </si>
  <si>
    <t>100001010001756226</t>
  </si>
  <si>
    <t>ARROZ 99% TIO PELON 12/1.8 KG.</t>
  </si>
  <si>
    <t>100001010001756227</t>
  </si>
  <si>
    <t>2139100000000</t>
  </si>
  <si>
    <t>CROQUETA YUCA PRECOC LARGE 6/1.5KG</t>
  </si>
  <si>
    <t>2399999009900</t>
  </si>
  <si>
    <t>PALITOS YUCA PRECOCIDOS LA ANTIOQUENA  4/1 KG</t>
  </si>
  <si>
    <t>100001010001774738</t>
  </si>
  <si>
    <t>2139400000100</t>
  </si>
  <si>
    <t>PAPA PREFRITA SHOESTRING TF 4/2.5KG</t>
  </si>
  <si>
    <t>2413900009900</t>
  </si>
  <si>
    <t>RTD SMASH DURAZNO MANGO SMIRNO FF 355ml</t>
  </si>
  <si>
    <t>RTD LAT DAIQUIRI FRESA BAMBOO 350ml</t>
  </si>
  <si>
    <t>RTD MOJITO BAMBOO 350ml</t>
  </si>
  <si>
    <t>0123400020500</t>
  </si>
  <si>
    <t>TOMATE EMPACADO BOLSA 1 KG PRO MO</t>
  </si>
  <si>
    <t>2118403000105</t>
  </si>
  <si>
    <t>SALCHICHA DE POLLO 24u KIMBY 1 000g</t>
  </si>
  <si>
    <t>2314000990300</t>
  </si>
  <si>
    <t>TORT REDONDITAS RUMBA 300g</t>
  </si>
  <si>
    <t>2349001010100</t>
  </si>
  <si>
    <t>TORT REGULARES TORTIRIC 375g</t>
  </si>
  <si>
    <t>2349002010800</t>
  </si>
  <si>
    <t>PAN PERR CAL CON AJONJOLI BIMB O 325g</t>
  </si>
  <si>
    <t>3229900009900</t>
  </si>
  <si>
    <t>418793 Fabuloso</t>
  </si>
  <si>
    <t>400008010000073590</t>
  </si>
  <si>
    <t>4481501000000</t>
  </si>
  <si>
    <t>414332 Ventilador</t>
  </si>
  <si>
    <t>400008010000073591</t>
  </si>
  <si>
    <t>500005010000046178</t>
  </si>
  <si>
    <t>84577 Doble Uso Es</t>
  </si>
  <si>
    <t>152519 LP Achiote</t>
  </si>
  <si>
    <t>2449099000200</t>
  </si>
  <si>
    <t>334911,Jet 12pk</t>
  </si>
  <si>
    <t>500081010000024062</t>
  </si>
  <si>
    <t>4642001000100</t>
  </si>
  <si>
    <t>815600 EVEREADY51R</t>
  </si>
  <si>
    <t>2371000000200</t>
  </si>
  <si>
    <t>ROMA CARACOLITOS 12x250 g</t>
  </si>
  <si>
    <t>ROMA LENGUA 36x250 g</t>
  </si>
  <si>
    <t>ROMA 3 PACK SPAGHETTINNI No3 250 g</t>
  </si>
  <si>
    <t>PRONTO 4 PACK ATUN TROZO ACEITE 140 GR</t>
  </si>
  <si>
    <t>100003010000030239</t>
  </si>
  <si>
    <t>ROMA CANELON 18x250 g</t>
  </si>
  <si>
    <t>ROMA SPAGHETTI 36x250 g</t>
  </si>
  <si>
    <t>LUCEMA LENGUA 36x250 g</t>
  </si>
  <si>
    <t>OFERT 3PACK CARACOLIT MILAN 11x250</t>
  </si>
  <si>
    <t>2124203020200</t>
  </si>
  <si>
    <t>PRONTO 4PACK ATUN VEGETALES 140 grs</t>
  </si>
  <si>
    <t>LUCEMA 3PACKSPAGHETTINI No.7  20x250g</t>
  </si>
  <si>
    <t>100003010000030808</t>
  </si>
  <si>
    <t>PRONTO ATUN TROZOS ACEITE 60x105 g</t>
  </si>
  <si>
    <t>ROMA TORNILLO TRICOLOR 12x250 g</t>
  </si>
  <si>
    <t>LUCEMA TORNILLO 12x250 g</t>
  </si>
  <si>
    <t>LUCEMA CABELLO  NAC  18x300 g</t>
  </si>
  <si>
    <t>100003010000030351</t>
  </si>
  <si>
    <t>2399501019900</t>
  </si>
  <si>
    <t>ROMA HONGOS REBANADOS 24x184g</t>
  </si>
  <si>
    <t>100003010000030469</t>
  </si>
  <si>
    <t>2167100000000</t>
  </si>
  <si>
    <t>ROMA ACEITE OLIVA 12x500 ML</t>
  </si>
  <si>
    <t>LUCEMA CODOS 12x250 g</t>
  </si>
  <si>
    <t>100001010000169731</t>
  </si>
  <si>
    <t>2399905000100</t>
  </si>
  <si>
    <t>BEBIDA LIOTE MELOCOTON FAMILIAR 3000GR</t>
  </si>
  <si>
    <t>CB1 CAFE REY TRADICIONAL 250GR 2PACK</t>
  </si>
  <si>
    <t>100001010000168154</t>
  </si>
  <si>
    <t>CB1 CAFE CHANDITO TORREFACTO 200GR 2PACK</t>
  </si>
  <si>
    <t>4391401010100</t>
  </si>
  <si>
    <t>CB1 FILTROS P/CAFE REY 1*50</t>
  </si>
  <si>
    <t>100001010000168904</t>
  </si>
  <si>
    <t>2366000000400</t>
  </si>
  <si>
    <t>A9 BOTONETAS CHOCOLATE 1*12</t>
  </si>
  <si>
    <t>100001010000009868</t>
  </si>
  <si>
    <t>0170102000500</t>
  </si>
  <si>
    <t>FRIJOL ROJO LA TROJA 700GRS</t>
  </si>
  <si>
    <t>100019010000001545</t>
  </si>
  <si>
    <t>3641099010200</t>
  </si>
  <si>
    <t>BOLSA ROLLO 12X18</t>
  </si>
  <si>
    <t>100019010000001594</t>
  </si>
  <si>
    <t>BOLSA ROLLO 7X10</t>
  </si>
  <si>
    <t>BOLSA ROLLO 10X16</t>
  </si>
  <si>
    <t>BOLSA ROLLO 14X20</t>
  </si>
  <si>
    <t>100001010000001828</t>
  </si>
  <si>
    <t>3423101010000</t>
  </si>
  <si>
    <t>Cloro 4% Nueva Era Galón (4)</t>
  </si>
  <si>
    <t>Cloro 6% Nueva Era Litro (12)</t>
  </si>
  <si>
    <t>Cloro 6% Nueva Era Galón (4)</t>
  </si>
  <si>
    <t>3532201030200</t>
  </si>
  <si>
    <t>Desengrasante Nueva Era Multiple Galón (4)</t>
  </si>
  <si>
    <t>3466499990100</t>
  </si>
  <si>
    <t>Cera Líquida Nueva Era Roja Fresh Galón (4)</t>
  </si>
  <si>
    <t>Desinfectante Nueva Era Lavanda Galón (4)</t>
  </si>
  <si>
    <t>Desinfectante Nueva Era Floral Galón (4)</t>
  </si>
  <si>
    <t>Desinfectante Lovex Lavanda Bolsa 900ml (16)</t>
  </si>
  <si>
    <t>Desinfectante Lovex Limón Bolsa 900ml (16)</t>
  </si>
  <si>
    <t>3532101029900</t>
  </si>
  <si>
    <t>Jabón Líquido Codimax para Manos Fresh 3500ml (4)</t>
  </si>
  <si>
    <t>3191400991000</t>
  </si>
  <si>
    <t>Gancho para Ropa Grande (10)</t>
  </si>
  <si>
    <t xml:space="preserve">CASADO </t>
  </si>
  <si>
    <t xml:space="preserve">GASOLINA </t>
  </si>
  <si>
    <t xml:space="preserve">Esponja </t>
  </si>
  <si>
    <t xml:space="preserve">Super </t>
  </si>
  <si>
    <t xml:space="preserve">334911,Jet </t>
  </si>
  <si>
    <t xml:space="preserve">418793 </t>
  </si>
  <si>
    <t xml:space="preserve">Palillos </t>
  </si>
  <si>
    <t xml:space="preserve">BOLSA </t>
  </si>
  <si>
    <t xml:space="preserve">152519 </t>
  </si>
  <si>
    <t xml:space="preserve">414332 </t>
  </si>
  <si>
    <t xml:space="preserve">PAJILLAS </t>
  </si>
  <si>
    <t xml:space="preserve">84577 </t>
  </si>
  <si>
    <t xml:space="preserve">815600 </t>
  </si>
  <si>
    <t xml:space="preserve">Mensual </t>
  </si>
  <si>
    <t xml:space="preserve">PALETA </t>
  </si>
  <si>
    <t xml:space="preserve">ROMA </t>
  </si>
  <si>
    <t xml:space="preserve">Papel </t>
  </si>
  <si>
    <t xml:space="preserve">CAFE </t>
  </si>
  <si>
    <t xml:space="preserve">LUCEMA </t>
  </si>
  <si>
    <t xml:space="preserve">CURITAS </t>
  </si>
  <si>
    <t xml:space="preserve">ARROZ </t>
  </si>
  <si>
    <t xml:space="preserve">Q.CREMA </t>
  </si>
  <si>
    <t xml:space="preserve">LACTOCREMA </t>
  </si>
  <si>
    <t xml:space="preserve">RTD </t>
  </si>
  <si>
    <t xml:space="preserve">HEL </t>
  </si>
  <si>
    <t xml:space="preserve">QUESO </t>
  </si>
  <si>
    <t xml:space="preserve">NAT. </t>
  </si>
  <si>
    <t xml:space="preserve">SANI </t>
  </si>
  <si>
    <t xml:space="preserve">Bolsas </t>
  </si>
  <si>
    <t xml:space="preserve">Crema </t>
  </si>
  <si>
    <t xml:space="preserve">TORT </t>
  </si>
  <si>
    <t xml:space="preserve">CB1 </t>
  </si>
  <si>
    <t xml:space="preserve">A9 </t>
  </si>
  <si>
    <t xml:space="preserve">Leche </t>
  </si>
  <si>
    <t xml:space="preserve">FRIJOL </t>
  </si>
  <si>
    <t xml:space="preserve">Cuchara </t>
  </si>
  <si>
    <t xml:space="preserve">Cloro </t>
  </si>
  <si>
    <t xml:space="preserve">Gancho </t>
  </si>
  <si>
    <t xml:space="preserve">ACHIOTICO </t>
  </si>
  <si>
    <t xml:space="preserve">SALSA </t>
  </si>
  <si>
    <t xml:space="preserve">TANG </t>
  </si>
  <si>
    <t xml:space="preserve">MAIZ </t>
  </si>
  <si>
    <t xml:space="preserve">ACEITE </t>
  </si>
  <si>
    <t xml:space="preserve">AZUCAR </t>
  </si>
  <si>
    <t xml:space="preserve">CHICLE </t>
  </si>
  <si>
    <t xml:space="preserve">GDC </t>
  </si>
  <si>
    <t xml:space="preserve">HALLS </t>
  </si>
  <si>
    <t xml:space="preserve">PAPAS </t>
  </si>
  <si>
    <t xml:space="preserve">MARGARINA </t>
  </si>
  <si>
    <t xml:space="preserve">MANTECA </t>
  </si>
  <si>
    <t xml:space="preserve">TOMATE </t>
  </si>
  <si>
    <t xml:space="preserve">COSTILLA </t>
  </si>
  <si>
    <t xml:space="preserve">OFERT </t>
  </si>
  <si>
    <t xml:space="preserve">SAL </t>
  </si>
  <si>
    <t xml:space="preserve">CROQUETA </t>
  </si>
  <si>
    <t xml:space="preserve">PRONTO </t>
  </si>
  <si>
    <t xml:space="preserve">SALCHICHA </t>
  </si>
  <si>
    <t xml:space="preserve">PAPA </t>
  </si>
  <si>
    <t xml:space="preserve">PAN </t>
  </si>
  <si>
    <t xml:space="preserve">BEBIDA </t>
  </si>
  <si>
    <t xml:space="preserve">TOALLA </t>
  </si>
  <si>
    <t xml:space="preserve">Desinfectante </t>
  </si>
  <si>
    <t xml:space="preserve">ACHIOTE </t>
  </si>
  <si>
    <t xml:space="preserve">AZÚCAR </t>
  </si>
  <si>
    <t xml:space="preserve">(C2277-447494) </t>
  </si>
  <si>
    <t xml:space="preserve">Desengrasante </t>
  </si>
  <si>
    <t xml:space="preserve">Cera </t>
  </si>
  <si>
    <t xml:space="preserve">Bandeja </t>
  </si>
  <si>
    <t xml:space="preserve">Lin. </t>
  </si>
  <si>
    <t xml:space="preserve">PALITOS </t>
  </si>
  <si>
    <t xml:space="preserve">(C2346-442673) </t>
  </si>
  <si>
    <t xml:space="preserve">SOPA </t>
  </si>
  <si>
    <t xml:space="preserve">Jabón </t>
  </si>
  <si>
    <t xml:space="preserve">BULTO </t>
  </si>
  <si>
    <t xml:space="preserve">Tapa </t>
  </si>
  <si>
    <t xml:space="preserve">Servilleta </t>
  </si>
  <si>
    <t xml:space="preserve">HARINA </t>
  </si>
  <si>
    <t xml:space="preserve">MMTGIAG05 </t>
  </si>
  <si>
    <t xml:space="preserve">MTMSGR78 </t>
  </si>
  <si>
    <t xml:space="preserve">MTMSAG08 </t>
  </si>
  <si>
    <t xml:space="preserve">MTEZDE401 </t>
  </si>
  <si>
    <t xml:space="preserve">MTEZDE418 </t>
  </si>
  <si>
    <t xml:space="preserve">MTEZDE450 </t>
  </si>
  <si>
    <t>productos</t>
  </si>
  <si>
    <t>subCategorias</t>
  </si>
  <si>
    <t>Abarrotes</t>
  </si>
  <si>
    <t>Snacks y Fruta Seca</t>
  </si>
  <si>
    <t>Dulces y Chocolates</t>
  </si>
  <si>
    <t>Enlatados y Conservas</t>
  </si>
  <si>
    <t>Pastas</t>
  </si>
  <si>
    <t>Cereales y Barras</t>
  </si>
  <si>
    <t>Salsa, Aderezos y Vinagre</t>
  </si>
  <si>
    <t>Galletas</t>
  </si>
  <si>
    <t>Café, Té y Sustitutos</t>
  </si>
  <si>
    <t>Especiales y Sazonadores</t>
  </si>
  <si>
    <t>Harinas y Repostería</t>
  </si>
  <si>
    <t>Mermeladas y Miel</t>
  </si>
  <si>
    <t>Arroz, Frijol y Semillas</t>
  </si>
  <si>
    <t>Azúcar y Postres</t>
  </si>
  <si>
    <t>Aceites de cocina</t>
  </si>
  <si>
    <t>Especias y Sazonadores</t>
  </si>
  <si>
    <t>Alimentos Instantáneos</t>
  </si>
  <si>
    <t>Productos Vegetales y Veganos</t>
  </si>
  <si>
    <t>Pan y Tortillas Empacados</t>
  </si>
  <si>
    <t>Leche</t>
  </si>
  <si>
    <t>Columna1</t>
  </si>
  <si>
    <t>categoriaPrincipal</t>
  </si>
  <si>
    <t>Papas y frituras</t>
  </si>
  <si>
    <t>Nueces y Almendras</t>
  </si>
  <si>
    <t>Maní y otras semillas</t>
  </si>
  <si>
    <t>Frutas Secas</t>
  </si>
  <si>
    <t>Dip</t>
  </si>
  <si>
    <t>Palomitas</t>
  </si>
  <si>
    <t>Chicharrones</t>
  </si>
  <si>
    <t>Chocolates</t>
  </si>
  <si>
    <t>Caramelos</t>
  </si>
  <si>
    <t>Chicles</t>
  </si>
  <si>
    <t>Gomitas</t>
  </si>
  <si>
    <t>Sin Azúcar</t>
  </si>
  <si>
    <t>Bombones</t>
  </si>
  <si>
    <t>Atún y Pescado</t>
  </si>
  <si>
    <t>Vegetales Enlatados</t>
  </si>
  <si>
    <t>Frijoles instantáneos</t>
  </si>
  <si>
    <t>Frutas en Almíbar</t>
  </si>
  <si>
    <t>Mariscos Enlatados</t>
  </si>
  <si>
    <t>Aceitunas</t>
  </si>
  <si>
    <t>Carnes Enlatadas</t>
  </si>
  <si>
    <t>Salsa para Pasta y Pizza</t>
  </si>
  <si>
    <t>Pasta Especial</t>
  </si>
  <si>
    <t>Spaghetti</t>
  </si>
  <si>
    <t>Fusilli</t>
  </si>
  <si>
    <t>Fetuccini</t>
  </si>
  <si>
    <t>De Fibra y Light</t>
  </si>
  <si>
    <t>Cereal Dulce</t>
  </si>
  <si>
    <t>Avena y Granola</t>
  </si>
  <si>
    <t>Barras de Cereal</t>
  </si>
  <si>
    <t>Mayonesa</t>
  </si>
  <si>
    <t>Aderezos y Vinagretas</t>
  </si>
  <si>
    <t>Salsa Picante</t>
  </si>
  <si>
    <t>Cátsup y Mostaza</t>
  </si>
  <si>
    <t>Vinagre</t>
  </si>
  <si>
    <t>Salsa de Soya y Teriyaki</t>
  </si>
  <si>
    <t>Salsas para Sazonar</t>
  </si>
  <si>
    <t>Galletas Dulces</t>
  </si>
  <si>
    <t>Galletas Saladas</t>
  </si>
  <si>
    <t>Galletas Integrales</t>
  </si>
  <si>
    <t>Galletas de Avena y Cereal</t>
  </si>
  <si>
    <t>Té Medicinales</t>
  </si>
  <si>
    <t>Café Molido</t>
  </si>
  <si>
    <t>Cápsulas de café</t>
  </si>
  <si>
    <t>Crema para café</t>
  </si>
  <si>
    <t>Café en grano</t>
  </si>
  <si>
    <t>Filtros para café</t>
  </si>
  <si>
    <t>Especias</t>
  </si>
  <si>
    <t>Sazonadores</t>
  </si>
  <si>
    <t>Sal y Condimentos</t>
  </si>
  <si>
    <t>Consomés</t>
  </si>
  <si>
    <t>Repostería</t>
  </si>
  <si>
    <t>Harina de Trigo y Maíz</t>
  </si>
  <si>
    <t>Para Hot Cakes</t>
  </si>
  <si>
    <t>Saborizantes Artificiales</t>
  </si>
  <si>
    <t>De Arroz</t>
  </si>
  <si>
    <t>Chocolates para Repostería</t>
  </si>
  <si>
    <t>Mermelada</t>
  </si>
  <si>
    <t>Crema de Avellana y Mantequilla de Maní</t>
  </si>
  <si>
    <t>Miel</t>
  </si>
  <si>
    <t>Cajeta y Dulce de Leche</t>
  </si>
  <si>
    <t>Arroz</t>
  </si>
  <si>
    <t>Leguminosas</t>
  </si>
  <si>
    <t>Frijol</t>
  </si>
  <si>
    <t>Semillas</t>
  </si>
  <si>
    <t>Gelatinas y Flan</t>
  </si>
  <si>
    <t>Sustituto de Azúcar</t>
  </si>
  <si>
    <t>Azúcar</t>
  </si>
  <si>
    <t>Gelatinas de Leche en Polvo</t>
  </si>
  <si>
    <t>Aceite de Semillas y Vegetal</t>
  </si>
  <si>
    <t>Aceite de Oliva</t>
  </si>
  <si>
    <t>Aceite Spray</t>
  </si>
  <si>
    <t>Manteca</t>
  </si>
  <si>
    <t>Aceite de Maíz</t>
  </si>
  <si>
    <t>Pasta y Sopa Instantánea</t>
  </si>
  <si>
    <t>Cremas Instantáneas</t>
  </si>
  <si>
    <t>Pure instantáneo</t>
  </si>
  <si>
    <t>Comida Rápida</t>
  </si>
  <si>
    <t>Bebida de Almendra</t>
  </si>
  <si>
    <t>Alimentos Veganos</t>
  </si>
  <si>
    <t>Bebida de Soya</t>
  </si>
  <si>
    <t>Bebida de Coco</t>
  </si>
  <si>
    <t>Crutones</t>
  </si>
  <si>
    <t>Leche Semi y Descremada</t>
  </si>
  <si>
    <t>Evaporada</t>
  </si>
  <si>
    <t>En Polvo</t>
  </si>
  <si>
    <t>Jugos y Néctares</t>
  </si>
  <si>
    <t>Polvo y Líquidos Concentrados</t>
  </si>
  <si>
    <t>Gaseosas</t>
  </si>
  <si>
    <t>Café y Te preparado</t>
  </si>
  <si>
    <t>Energizantes e Hidratantes</t>
  </si>
  <si>
    <t>Agua</t>
  </si>
  <si>
    <t>Jugo de Frutas</t>
  </si>
  <si>
    <t>Néctar</t>
  </si>
  <si>
    <t>Jugo de Verduras</t>
  </si>
  <si>
    <t>Bebidas en Polvo</t>
  </si>
  <si>
    <t>Líquido Concentrado</t>
  </si>
  <si>
    <t>Sabores Varios</t>
  </si>
  <si>
    <t>Sabor Cola</t>
  </si>
  <si>
    <t>Light y Sin Azúcar</t>
  </si>
  <si>
    <t>Te listo para beber</t>
  </si>
  <si>
    <t>Café listo para beber</t>
  </si>
  <si>
    <t>Energizante</t>
  </si>
  <si>
    <t>Hidratante</t>
  </si>
  <si>
    <t>Agua Saborizada</t>
  </si>
  <si>
    <t>Agua Natural</t>
  </si>
  <si>
    <t>Jugos y Bebidas</t>
  </si>
  <si>
    <t>Cervezas, Vinos y Licores</t>
  </si>
  <si>
    <t>Vinos</t>
  </si>
  <si>
    <t>Licores</t>
  </si>
  <si>
    <t>Cervezas</t>
  </si>
  <si>
    <t>Coolers</t>
  </si>
  <si>
    <t>Digestivos</t>
  </si>
  <si>
    <t>Vino Tinto</t>
  </si>
  <si>
    <t>Vino Blanco</t>
  </si>
  <si>
    <t>Champagne y Espumoso</t>
  </si>
  <si>
    <t>Sidras</t>
  </si>
  <si>
    <t>Vino Rosado</t>
  </si>
  <si>
    <t>Brandy</t>
  </si>
  <si>
    <t>Ron</t>
  </si>
  <si>
    <t>Whisky</t>
  </si>
  <si>
    <t>Tequila</t>
  </si>
  <si>
    <t>Ginebra</t>
  </si>
  <si>
    <t>Vodka</t>
  </si>
  <si>
    <t>Cognac</t>
  </si>
  <si>
    <t>Artesanales e Importadas</t>
  </si>
  <si>
    <t>Rompope</t>
  </si>
  <si>
    <t>Postres Congelados</t>
  </si>
  <si>
    <t>Comida Fácil</t>
  </si>
  <si>
    <t>Frutas y Verdura Congelada</t>
  </si>
  <si>
    <t>Helados</t>
  </si>
  <si>
    <t>Pay y Pasteles</t>
  </si>
  <si>
    <t>Barquillos y Conos</t>
  </si>
  <si>
    <t>Hot Cakes y Wafles</t>
  </si>
  <si>
    <t>Alimentos Congelados</t>
  </si>
  <si>
    <t>Comida Congelada</t>
  </si>
  <si>
    <t>Papas Congeladas</t>
  </si>
  <si>
    <t>Pollo Preparado</t>
  </si>
  <si>
    <t>Tacos, pizzas y pastas</t>
  </si>
  <si>
    <t>Pescados y Mariscos</t>
  </si>
  <si>
    <t>Frutas Congeladas</t>
  </si>
  <si>
    <t>Verduras Congeladas</t>
  </si>
  <si>
    <t>Pan Dulce</t>
  </si>
  <si>
    <t>Repostería y Pastelería</t>
  </si>
  <si>
    <t>Pan Salado</t>
  </si>
  <si>
    <t>Tortillería</t>
  </si>
  <si>
    <t>Comida y Snacks</t>
  </si>
  <si>
    <t>Panadería y tortillería</t>
  </si>
  <si>
    <t>Empacados</t>
  </si>
  <si>
    <t>Bizcochos</t>
  </si>
  <si>
    <t>Pasteles y Pays</t>
  </si>
  <si>
    <t>Pan Europeo y Rústico</t>
  </si>
  <si>
    <t>Pan Tostado</t>
  </si>
  <si>
    <t>Bagels</t>
  </si>
  <si>
    <t>Bollos y Hot Dog</t>
  </si>
  <si>
    <t>Bocadillos y Empanadas</t>
  </si>
  <si>
    <t>Pan de Caja</t>
  </si>
  <si>
    <t>Empanizadores</t>
  </si>
  <si>
    <t>Tortillas de Harina</t>
  </si>
  <si>
    <t>Tortillas de Maíz</t>
  </si>
  <si>
    <t>Tostadas</t>
  </si>
  <si>
    <t>Pan Pita</t>
  </si>
  <si>
    <t>Platillos preparados</t>
  </si>
  <si>
    <t>Bebidas preparadas</t>
  </si>
  <si>
    <t>Queso</t>
  </si>
  <si>
    <t>Yogurt</t>
  </si>
  <si>
    <t>Mantequillas y margarinas</t>
  </si>
  <si>
    <t>Crema o Natilla</t>
  </si>
  <si>
    <t>Huevo</t>
  </si>
  <si>
    <t>Lacteos</t>
  </si>
  <si>
    <t>Más Quesos</t>
  </si>
  <si>
    <t>Queso Mozzarella</t>
  </si>
  <si>
    <t>Queso Fresco</t>
  </si>
  <si>
    <t>Queso Cottage</t>
  </si>
  <si>
    <t>Queso Americano</t>
  </si>
  <si>
    <t>Queso Crema</t>
  </si>
  <si>
    <t>Queso Parmesano</t>
  </si>
  <si>
    <t>Yogurt Batido</t>
  </si>
  <si>
    <t>Yogurt Natural</t>
  </si>
  <si>
    <t>Yogurt Bebible</t>
  </si>
  <si>
    <t>Leche Saborizada</t>
  </si>
  <si>
    <t>Leche Deslactosada</t>
  </si>
  <si>
    <t>Leche Entera</t>
  </si>
  <si>
    <t>Condensada</t>
  </si>
  <si>
    <t>Margarinas</t>
  </si>
  <si>
    <t>Mantequillas</t>
  </si>
  <si>
    <t>Regular</t>
  </si>
  <si>
    <t>Subcategory</t>
  </si>
  <si>
    <t>Marrón</t>
  </si>
  <si>
    <t>Pastoreo y Especializado</t>
  </si>
  <si>
    <t>Blanco</t>
  </si>
  <si>
    <t>Carnes frías</t>
  </si>
  <si>
    <t>Embutidos</t>
  </si>
  <si>
    <t>Jamón</t>
  </si>
  <si>
    <t>Otros Embutidos</t>
  </si>
  <si>
    <t>Salchichas</t>
  </si>
  <si>
    <t>Chorizo</t>
  </si>
  <si>
    <t>Mortadela y salchichón</t>
  </si>
  <si>
    <t>Botanas frías</t>
  </si>
  <si>
    <t>Tocino</t>
  </si>
  <si>
    <t>Frutas y Verduras</t>
  </si>
  <si>
    <t>Frutas</t>
  </si>
  <si>
    <t>Manzanas y peras</t>
  </si>
  <si>
    <t>Fresa, frambuesa y moras</t>
  </si>
  <si>
    <t>Bananos, Papayas y tropicales</t>
  </si>
  <si>
    <t>Naranja, Limón y cítricos</t>
  </si>
  <si>
    <t>Uvas, duraznos, y ciruelas</t>
  </si>
  <si>
    <t>Frutas de temporada y exóticas</t>
  </si>
  <si>
    <t>Verduras</t>
  </si>
  <si>
    <t>Cebollas, papas y verduras de raíz</t>
  </si>
  <si>
    <t>Ensaladas y empacados</t>
  </si>
  <si>
    <t>Tomates, aguacates y básicos</t>
  </si>
  <si>
    <t>Lechugas, espinacas y hojas verdes</t>
  </si>
  <si>
    <t>Chiles, ajos, y pimientos</t>
  </si>
  <si>
    <t>Hongos, brócolis y espárragos</t>
  </si>
  <si>
    <t>Res</t>
  </si>
  <si>
    <t>Mariscos y Pescados</t>
  </si>
  <si>
    <t>Pollo y Pavo</t>
  </si>
  <si>
    <t>Cerdo</t>
  </si>
  <si>
    <t>Carnes y Pescados</t>
  </si>
  <si>
    <t>Carnes</t>
  </si>
  <si>
    <t>Camarones y mariscos</t>
  </si>
  <si>
    <t>Filetes y Enteros</t>
  </si>
  <si>
    <t>Pollo</t>
  </si>
  <si>
    <t>Pavo</t>
  </si>
  <si>
    <t>Carne de Cerdo</t>
  </si>
  <si>
    <t>Limpieza del hogar</t>
  </si>
  <si>
    <t>Desechables</t>
  </si>
  <si>
    <t>Detergente</t>
  </si>
  <si>
    <t>Accesorios para limpieza</t>
  </si>
  <si>
    <t>Aromatizantes</t>
  </si>
  <si>
    <t>Suavizante</t>
  </si>
  <si>
    <t>Lavaplatos</t>
  </si>
  <si>
    <t>Papel Higiénico</t>
  </si>
  <si>
    <t>Quitamanchas para ropa</t>
  </si>
  <si>
    <t>Jabón de lavandería</t>
  </si>
  <si>
    <t>Mascotas</t>
  </si>
  <si>
    <t>Colorantes y Almidones</t>
  </si>
  <si>
    <t>Limpieza</t>
  </si>
  <si>
    <t>Desinfectantes</t>
  </si>
  <si>
    <t>Limpiadores Multiusos</t>
  </si>
  <si>
    <t>Insecticidas y Trampas</t>
  </si>
  <si>
    <t>Cloro</t>
  </si>
  <si>
    <t>Cuidado para Zapatos</t>
  </si>
  <si>
    <t>Cera para Pisos</t>
  </si>
  <si>
    <t>Limpiadores de Cocina</t>
  </si>
  <si>
    <t>Toallitas Desinfectantes</t>
  </si>
  <si>
    <t>Destapacaños</t>
  </si>
  <si>
    <t>Limpiadores de Baño</t>
  </si>
  <si>
    <t>Vasos y platos</t>
  </si>
  <si>
    <t>Bolsas para Basura</t>
  </si>
  <si>
    <t>Bolsas para Cocina</t>
  </si>
  <si>
    <t>Toallas de cocina</t>
  </si>
  <si>
    <t>Servilletas</t>
  </si>
  <si>
    <t>Papel aluminio y adherente</t>
  </si>
  <si>
    <t>Palillos y Pajillas</t>
  </si>
  <si>
    <t>Detergente en polvo</t>
  </si>
  <si>
    <t>Detergente líquido</t>
  </si>
  <si>
    <t>Escobas, Cepillos y Escurridores de Piso</t>
  </si>
  <si>
    <t>Fibras y esponjas</t>
  </si>
  <si>
    <t>Guantes</t>
  </si>
  <si>
    <t>Prensas de Ropa y Tendederos</t>
  </si>
  <si>
    <t>Trapeadores y Quitapelusas</t>
  </si>
  <si>
    <t>Aromatizante ambiental</t>
  </si>
  <si>
    <t>Aromatizante de baño</t>
  </si>
  <si>
    <t>Suavizante Regular</t>
  </si>
  <si>
    <t>Lavaplatos en polvo y en pasta</t>
  </si>
  <si>
    <t>Lavaplatos líquido</t>
  </si>
  <si>
    <t>Empaques de 18 y 12 rollos</t>
  </si>
  <si>
    <t>Quitamanchas liquido</t>
  </si>
  <si>
    <t>Jabón de Barra</t>
  </si>
  <si>
    <t>Alimento Húmedo Para Gatos</t>
  </si>
  <si>
    <t>Alimento Húmedo Para Perros</t>
  </si>
  <si>
    <t>Colorantes</t>
  </si>
  <si>
    <t>Bebes y Niños</t>
  </si>
  <si>
    <t>Comida para bebé y lactancia</t>
  </si>
  <si>
    <t>Pañales y toallitas húmedas</t>
  </si>
  <si>
    <t>Higiene del bebé</t>
  </si>
  <si>
    <t>Artículos para fiesta</t>
  </si>
  <si>
    <t>Cunas, coches y accesorios</t>
  </si>
  <si>
    <t>Juguetes para bebe y estimulación temprana</t>
  </si>
  <si>
    <t>Accesorios de lactancia</t>
  </si>
  <si>
    <t>Fórmulas lácteas</t>
  </si>
  <si>
    <t>Biberones y tetinas</t>
  </si>
  <si>
    <t>Colados 2da etapa</t>
  </si>
  <si>
    <t>Colados 3ra etapa</t>
  </si>
  <si>
    <t>Cereales y galletas para bebé</t>
  </si>
  <si>
    <t>Colados 4ta etapa y junior</t>
  </si>
  <si>
    <t>Platos, vasos y cubiertos para niños</t>
  </si>
  <si>
    <t>Colados 1ra etapa</t>
  </si>
  <si>
    <t>Toallitas húmedas</t>
  </si>
  <si>
    <t>Pañales Recién Nacido y Etapa 1</t>
  </si>
  <si>
    <t>Pañales - Etapa 4</t>
  </si>
  <si>
    <t>Pañales - Etapa 5</t>
  </si>
  <si>
    <t>Pañales - Etapa 3</t>
  </si>
  <si>
    <t>Pañales - Etapa 7</t>
  </si>
  <si>
    <t>Pañales - Etapa 2</t>
  </si>
  <si>
    <t>Pañales - Etapa 6</t>
  </si>
  <si>
    <t>Ecológicos, entrenadores y para nadar</t>
  </si>
  <si>
    <t>Shampoo y jabón para bebé</t>
  </si>
  <si>
    <t>Accesorios para baño de Bebes</t>
  </si>
  <si>
    <t>Crema, gel y loción para bebé</t>
  </si>
  <si>
    <t>Talco y aceite para bebé</t>
  </si>
  <si>
    <t>Envolturas para regalo</t>
  </si>
  <si>
    <t>Velas de cumpleaños</t>
  </si>
  <si>
    <t>Globos</t>
  </si>
  <si>
    <t>Adornos de fiestas</t>
  </si>
  <si>
    <t>Invitaciones y Tarjetas</t>
  </si>
  <si>
    <t>Desechables para Fiesta</t>
  </si>
  <si>
    <t>Cunas y encierros</t>
  </si>
  <si>
    <t>Coches, asientos de auto y canguros</t>
  </si>
  <si>
    <t>Accesorios Para Bebes</t>
  </si>
  <si>
    <t>Juguetes para bebes</t>
  </si>
  <si>
    <t>Higiene y Belleza</t>
  </si>
  <si>
    <t>Cuidado del cabello</t>
  </si>
  <si>
    <t>Higiene y cuidado corporal</t>
  </si>
  <si>
    <t>Cosméticos</t>
  </si>
  <si>
    <t>Cuidado Facial</t>
  </si>
  <si>
    <t>Cuidado Bucal</t>
  </si>
  <si>
    <t>Cuidado Intimo</t>
  </si>
  <si>
    <t>Afeitado</t>
  </si>
  <si>
    <t>Higiene y cuidado para manos</t>
  </si>
  <si>
    <t>Pañuelos desechables</t>
  </si>
  <si>
    <t>Cuidado para pies</t>
  </si>
  <si>
    <t>Kits de viaje</t>
  </si>
  <si>
    <t>Shampoo</t>
  </si>
  <si>
    <t>Tinte femenino</t>
  </si>
  <si>
    <t>Cepillos, Planchas y Accesorios</t>
  </si>
  <si>
    <t>Tratamiento capilar</t>
  </si>
  <si>
    <t>Acondicionadores</t>
  </si>
  <si>
    <t>Gel, mousse y spray</t>
  </si>
  <si>
    <t>Shampoo Anticaspa</t>
  </si>
  <si>
    <t>Shampoo Infantil</t>
  </si>
  <si>
    <t>Crema para peinar</t>
  </si>
  <si>
    <t>Tinte masculino</t>
  </si>
  <si>
    <t>Crema corporal</t>
  </si>
  <si>
    <t>Desodorante masculino</t>
  </si>
  <si>
    <t>Desodorante femenino</t>
  </si>
  <si>
    <t>Jabón de tocador</t>
  </si>
  <si>
    <t>Fragancias</t>
  </si>
  <si>
    <t>Bloqueadores y Bronceadores</t>
  </si>
  <si>
    <t>Accesorios para ducha</t>
  </si>
  <si>
    <t>Jabón y gel corporal</t>
  </si>
  <si>
    <t>Tratamiento corporal</t>
  </si>
  <si>
    <t>Accesorios cosméticos</t>
  </si>
  <si>
    <t>Delineador de ojos y cejas</t>
  </si>
  <si>
    <t>Maquillaje para piel grasa</t>
  </si>
  <si>
    <t>Labiales</t>
  </si>
  <si>
    <t>Polvo compacto</t>
  </si>
  <si>
    <t>Sombra para ojos</t>
  </si>
  <si>
    <t>Desmaquillantes y agua micelar</t>
  </si>
  <si>
    <t>Rubores y Bronceadores</t>
  </si>
  <si>
    <t>Delineador de labios</t>
  </si>
  <si>
    <t>Desmaquillante</t>
  </si>
  <si>
    <t>Antiacné</t>
  </si>
  <si>
    <t>Tratamiento facial</t>
  </si>
  <si>
    <t>Crema facial</t>
  </si>
  <si>
    <t>Accesorios faciales</t>
  </si>
  <si>
    <t>Pasta dental</t>
  </si>
  <si>
    <t>Cepillo dental</t>
  </si>
  <si>
    <t>Enjuague bucal</t>
  </si>
  <si>
    <t>Hilo dental y artículos especializados</t>
  </si>
  <si>
    <t>Higiene bucal para niños</t>
  </si>
  <si>
    <t>Toallas y tampones</t>
  </si>
  <si>
    <t>Incontinencia</t>
  </si>
  <si>
    <t>Cuidado del Hombre</t>
  </si>
  <si>
    <t>Cuidado de la Mujer</t>
  </si>
  <si>
    <t>Esmaltes</t>
  </si>
  <si>
    <t>Jabón líquido</t>
  </si>
  <si>
    <t>Manicure</t>
  </si>
  <si>
    <t>Jabón líquido para manos</t>
  </si>
  <si>
    <t>Crema para manos</t>
  </si>
  <si>
    <t>Quitaesmaltes</t>
  </si>
  <si>
    <t>Pedicure</t>
  </si>
  <si>
    <t>Básicos</t>
  </si>
  <si>
    <t>Dermatología</t>
  </si>
  <si>
    <t>OTC</t>
  </si>
  <si>
    <t>Sistema digestivo y Antiparasitarios</t>
  </si>
  <si>
    <t>Dolor e inflamación</t>
  </si>
  <si>
    <t>Multivitamínicos, Suplementos &amp; Sistema Óseo</t>
  </si>
  <si>
    <t>Cardiovascular &amp; Hipertensivo</t>
  </si>
  <si>
    <t>Sistema Nervioso</t>
  </si>
  <si>
    <t>Asma, alergias y nasal</t>
  </si>
  <si>
    <t>Salud Bucal, Oftalmológico &amp; Oído</t>
  </si>
  <si>
    <t>Bienestar, equipo médico y soluciones hospitalarias</t>
  </si>
  <si>
    <t>Antiviral, gripe y tos</t>
  </si>
  <si>
    <t>Anticonceptivos, hormonal y salud sexual</t>
  </si>
  <si>
    <t>Diabetes y tiroides</t>
  </si>
  <si>
    <t>Colesterol y Triglicérido</t>
  </si>
  <si>
    <t>Cuidado Personal</t>
  </si>
  <si>
    <t>Medicamentos de Alta Especialidad</t>
  </si>
  <si>
    <t>Antimicótico</t>
  </si>
  <si>
    <t>Vitaminas y Suplementos</t>
  </si>
  <si>
    <t>Sistema Urinario</t>
  </si>
  <si>
    <t>Analgésicos</t>
  </si>
  <si>
    <t>Respiratorios</t>
  </si>
  <si>
    <t>Material de Curación</t>
  </si>
  <si>
    <t>Bienestar Sexual</t>
  </si>
  <si>
    <t>Estomacales</t>
  </si>
  <si>
    <t>Embarazo &amp; lactancia infantil</t>
  </si>
  <si>
    <t>Oftálmicos y Óticos</t>
  </si>
  <si>
    <t>Diabetes</t>
  </si>
  <si>
    <t>Cuidado de los Pies</t>
  </si>
  <si>
    <t>Antibiótico</t>
  </si>
  <si>
    <t>Farmacia</t>
  </si>
  <si>
    <t>Dermocosméticos</t>
  </si>
  <si>
    <t>Cuidado de la Piel</t>
  </si>
  <si>
    <t>Higiene Femenina</t>
  </si>
  <si>
    <t>Antiacné PX</t>
  </si>
  <si>
    <t>Alta Especialidad</t>
  </si>
  <si>
    <t>Vitaminas</t>
  </si>
  <si>
    <t>Suplementos Nutricionales</t>
  </si>
  <si>
    <t>Calcio / Embarazo</t>
  </si>
  <si>
    <t>Musculares e Inflamación</t>
  </si>
  <si>
    <t>Dolor</t>
  </si>
  <si>
    <t>Resfríos</t>
  </si>
  <si>
    <t>Alergias</t>
  </si>
  <si>
    <t>Gasas y Vendas</t>
  </si>
  <si>
    <t>Guantes y Cubrebocas</t>
  </si>
  <si>
    <t>Condones</t>
  </si>
  <si>
    <t>Suplementos</t>
  </si>
  <si>
    <t>Lubricantes</t>
  </si>
  <si>
    <t>Antiácidos</t>
  </si>
  <si>
    <t>Probióticos</t>
  </si>
  <si>
    <t>Dolor y Malestar</t>
  </si>
  <si>
    <t>Gotas para los ojos</t>
  </si>
  <si>
    <t>Tratamiento Diabetes</t>
  </si>
  <si>
    <t>Accesorios</t>
  </si>
  <si>
    <t>Talcos</t>
  </si>
  <si>
    <t>Mascota</t>
  </si>
  <si>
    <t>Alimento seco para Perros</t>
  </si>
  <si>
    <t>Alimento seco para Gatos</t>
  </si>
  <si>
    <t>Premios y Carnazas</t>
  </si>
  <si>
    <t>Alimento Humedo para Perros</t>
  </si>
  <si>
    <t>Accesorios para Perros</t>
  </si>
  <si>
    <t>Alimento Humedo para Gatos</t>
  </si>
  <si>
    <t>Limpieza y Cuidado</t>
  </si>
  <si>
    <t>Arena y Accesorios para Gatos</t>
  </si>
  <si>
    <t>Alimento y accesorios otras Mascotas</t>
  </si>
  <si>
    <t>Subcategoria</t>
  </si>
  <si>
    <t>detalle</t>
  </si>
  <si>
    <t>IDCatPrin</t>
  </si>
  <si>
    <t>IDSubCat</t>
  </si>
  <si>
    <t>Iddetalle</t>
  </si>
  <si>
    <t>CJ</t>
  </si>
  <si>
    <t>Os</t>
  </si>
  <si>
    <t>IdProveedor</t>
  </si>
  <si>
    <t/>
  </si>
  <si>
    <t>216120000990029</t>
  </si>
  <si>
    <t>217000000030033</t>
  </si>
  <si>
    <t>216520000020035</t>
  </si>
  <si>
    <t>333110001000015</t>
  </si>
  <si>
    <t>633990000000011</t>
  </si>
  <si>
    <t>363209903990017</t>
  </si>
  <si>
    <t>319120099030016</t>
  </si>
  <si>
    <t>244900600990027</t>
  </si>
  <si>
    <t>214950000050026</t>
  </si>
  <si>
    <t>321930100000020</t>
  </si>
  <si>
    <t>843920000000018</t>
  </si>
  <si>
    <t>353340100000014</t>
  </si>
  <si>
    <t>364100199990025</t>
  </si>
  <si>
    <t>364100199990026</t>
  </si>
  <si>
    <t>333110001000014</t>
  </si>
  <si>
    <t>Leche coco Coco López 300ml</t>
  </si>
  <si>
    <t>IdProducto</t>
  </si>
  <si>
    <t>IDCategoría</t>
  </si>
  <si>
    <t>CodigoBarras</t>
  </si>
  <si>
    <t>NombreProducto</t>
  </si>
  <si>
    <t>CantidadDisponible</t>
  </si>
  <si>
    <t>Descontinuado</t>
  </si>
  <si>
    <t>Commentario</t>
  </si>
  <si>
    <t>foto</t>
  </si>
  <si>
    <t>Comentario</t>
  </si>
  <si>
    <t>IdSubcategoria</t>
  </si>
  <si>
    <t>IdCatprincipal</t>
  </si>
  <si>
    <t>IdSubCategoria2</t>
  </si>
  <si>
    <t>SubCategoriaDescr</t>
  </si>
  <si>
    <t>lookup</t>
  </si>
  <si>
    <t>Folder</t>
  </si>
  <si>
    <t>0</t>
  </si>
  <si>
    <t>-</t>
  </si>
  <si>
    <t>231200000050051</t>
  </si>
  <si>
    <t>(blank)</t>
  </si>
  <si>
    <t>CONTADO</t>
  </si>
  <si>
    <t>Instamasa S.A.</t>
  </si>
  <si>
    <t>24391717</t>
  </si>
  <si>
    <t>info@instamasa.com</t>
  </si>
  <si>
    <t>Grupo Agroindustrial Numar S.A</t>
  </si>
  <si>
    <t>22841000</t>
  </si>
  <si>
    <t>recepcion@numar.net</t>
  </si>
  <si>
    <t>C:\Users\MinorGomezViales\Documents\Min\factura</t>
  </si>
  <si>
    <t>ID</t>
  </si>
  <si>
    <t>100001010000122955-231200000050051</t>
  </si>
  <si>
    <t>800001010000043009-216120000990029</t>
  </si>
  <si>
    <t>800001010000043009-217000000030033</t>
  </si>
  <si>
    <t>800001010000043009-216520000020035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</si>
</sst>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rial"/>
      <family val="2"/>
    </font>
    <font>
      <sz val="8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ptos"/>
      <family val="2"/>
    </font>
    <font>
      <sz val="11"/>
      <color indexed="8"/>
      <name val="Aptos"/>
      <family val="2"/>
    </font>
    <font>
      <sz val="10"/>
      <color indexed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rgb="FFC0C0C0"/>
        <bgColor rgb="FFC0C0C0"/>
      </patternFill>
    </fill>
    <fill>
      <patternFill patternType="solid">
        <fgColor indexed="22"/>
        <bgColor indexed="0"/>
      </patternFill>
    </fill>
  </fills>
  <borders count="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0" fontId="5" fillId="0" borderId="0"/>
  </cellStyleXfs>
  <cellXfs count="9">
    <xf numFmtId="0" fontId="0" fillId="0" borderId="0" xfId="0"/>
    <xf numFmtId="22" fontId="0" fillId="0" borderId="0" xfId="0" applyNumberFormat="1"/>
    <xf numFmtId="0" fontId="2" fillId="2" borderId="1" xfId="0" applyFont="1" applyFill="1" applyBorder="1"/>
    <xf numFmtId="0" fontId="0" fillId="0" borderId="0" xfId="0" pivotButton="1"/>
    <xf numFmtId="0" fontId="0" fillId="0" borderId="0" xfId="0" quotePrefix="1"/>
    <xf numFmtId="0" fontId="3" fillId="3" borderId="2" xfId="0" applyFont="1" applyFill="1" applyBorder="1" applyAlignment="1">
      <alignment horizontal="center" vertical="center"/>
    </xf>
    <xf numFmtId="0" fontId="4" fillId="4" borderId="3" xfId="1" applyFont="1" applyFill="1" applyBorder="1" applyAlignment="1">
      <alignment horizontal="center"/>
    </xf>
    <xf numFmtId="0" fontId="4" fillId="0" borderId="4" xfId="1" applyFont="1" applyBorder="1" applyAlignment="1">
      <alignment horizontal="right" wrapText="1"/>
    </xf>
    <xf numFmtId="0" fontId="4" fillId="0" borderId="4" xfId="1" applyFont="1" applyBorder="1" applyAlignment="1">
      <alignment wrapText="1"/>
    </xf>
  </cellXfs>
  <cellStyles count="2">
    <cellStyle name="Normal" xfId="0" builtinId="0"/>
    <cellStyle name="Normal_categorias" xfId="1" xr:uid="{D2102C77-36DB-4300-AD90-B6D5CB363F8F}"/>
  </cellStyles>
  <dxfs count="21"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161925</xdr:rowOff>
        </xdr:from>
        <xdr:to>
          <xdr:col>4</xdr:col>
          <xdr:colOff>428625</xdr:colOff>
          <xdr:row>5</xdr:row>
          <xdr:rowOff>9525</xdr:rowOff>
        </xdr:to>
        <xdr:sp macro="" textlink="">
          <xdr:nvSpPr>
            <xdr:cNvPr id="1025" name="cmdFold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6</xdr:row>
          <xdr:rowOff>66675</xdr:rowOff>
        </xdr:from>
        <xdr:to>
          <xdr:col>4</xdr:col>
          <xdr:colOff>419100</xdr:colOff>
          <xdr:row>8</xdr:row>
          <xdr:rowOff>38100</xdr:rowOff>
        </xdr:to>
        <xdr:sp macro="" textlink="">
          <xdr:nvSpPr>
            <xdr:cNvPr id="1026" name="cmdRefrescarPowerQry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nor Gomez Viales" refreshedDate="45510.891663425929" createdVersion="8" refreshedVersion="8" minRefreshableVersion="3" recordCount="364" xr:uid="{FF763BD8-8499-4A52-A8B3-310DDDDC3538}">
  <cacheSource type="worksheet">
    <worksheetSource name="Tabla3"/>
  </cacheSource>
  <cacheFields count="8">
    <cacheField name="IDCatPrin" numFmtId="0">
      <sharedItems containsSemiMixedTypes="0" containsString="0" containsNumber="1" containsInteger="1" minValue="1" maxValue="14"/>
    </cacheField>
    <cacheField name="categoriaPrincipal" numFmtId="0">
      <sharedItems/>
    </cacheField>
    <cacheField name="IDSubCat" numFmtId="0">
      <sharedItems containsSemiMixedTypes="0" containsString="0" containsNumber="1" containsInteger="1" minValue="1" maxValue="119" count="117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8"/>
        <n v="79"/>
        <n v="80"/>
        <n v="81"/>
        <n v="82"/>
        <n v="83"/>
        <n v="84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</sharedItems>
    </cacheField>
    <cacheField name="Subcategoria" numFmtId="0">
      <sharedItems/>
    </cacheField>
    <cacheField name="Iddetalle" numFmtId="0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  <cacheField name="detalle" numFmtId="0">
      <sharedItems containsBlank="1" count="330">
        <s v="Escobas, Cepillos y Escurridores de Piso"/>
        <s v="Fibras y esponjas"/>
        <s v="Guantes"/>
        <s v="Prensas de Ropa y Tendederos"/>
        <s v="Trapeadores y Quitapelusas"/>
        <m/>
        <s v="Aceite de Semillas y Vegetal"/>
        <s v="Aceite de Oliva"/>
        <s v="Aceite Spray"/>
        <s v="Manteca"/>
        <s v="Aceite de Maíz"/>
        <s v="Cuidado del Hombre"/>
        <s v="Cuidado de la Mujer"/>
        <s v="Agua Saborizada"/>
        <s v="Agua Natural"/>
        <s v="Pasta y Sopa Instantánea"/>
        <s v="Cremas Instantáneas"/>
        <s v="Pure instantáneo"/>
        <s v="Comida Rápida"/>
        <s v="Musculares e Inflamación"/>
        <s v="Dolor"/>
        <s v="Aromatizante ambiental"/>
        <s v="Aromatizante de baño"/>
        <s v="Arroz"/>
        <s v="Leguminosas"/>
        <s v="Frijol"/>
        <s v="Semillas"/>
        <s v="Envolturas para regalo"/>
        <s v="Velas de cumpleaños"/>
        <s v="Globos"/>
        <s v="Adornos de fiestas"/>
        <s v="Invitaciones y Tarjetas"/>
        <s v="Desechables para Fiesta"/>
        <s v="Gelatinas y Flan"/>
        <s v="Sustituto de Azúcar"/>
        <s v="Azúcar"/>
        <s v="Gelatinas de Leche en Polvo"/>
        <s v="Condones"/>
        <s v="Suplementos"/>
        <s v="Lubricantes"/>
        <s v="Te listo para beber"/>
        <s v="Café listo para beber"/>
        <s v="Té Medicinales"/>
        <s v="Café Molido"/>
        <s v="Cápsulas de café"/>
        <s v="Crema para café"/>
        <s v="Café en grano"/>
        <s v="Filtros para café"/>
        <s v="Jamón"/>
        <s v="Otros Embutidos"/>
        <s v="Salchichas"/>
        <s v="Chorizo"/>
        <s v="Mortadela y salchichón"/>
        <s v="Botanas frías"/>
        <s v="Tocino"/>
        <s v="Carne de Cerdo"/>
        <s v="De Fibra y Light"/>
        <s v="Cereal Dulce"/>
        <s v="Avena y Granola"/>
        <s v="Barras de Cereal"/>
        <s v="Artesanales e Importadas"/>
        <s v="Colorantes"/>
        <s v="Comida Congelada"/>
        <s v="Papas Congeladas"/>
        <s v="Pollo Preparado"/>
        <s v="Tacos, pizzas y pastas"/>
        <s v="Pescados y Mariscos"/>
        <s v="Accesorios de lactancia"/>
        <s v="Fórmulas lácteas"/>
        <s v="Biberones y tetinas"/>
        <s v="Colados 2da etapa"/>
        <s v="Colados 3ra etapa"/>
        <s v="Cereales y galletas para bebé"/>
        <s v="Colados 4ta etapa y junior"/>
        <s v="Platos, vasos y cubiertos para niños"/>
        <s v="Colados 1ra etapa"/>
        <s v="Platillos preparados"/>
        <s v="Bebidas preparadas"/>
        <s v="Coolers"/>
        <s v="Subcategory"/>
        <s v="Accesorios cosméticos"/>
        <s v="Delineador de ojos y cejas"/>
        <s v="Maquillaje para piel grasa"/>
        <s v="Labiales"/>
        <s v="Polvo compacto"/>
        <s v="Sombra para ojos"/>
        <s v="Desmaquillantes y agua micelar"/>
        <s v="Rubores y Bronceadores"/>
        <s v="Delineador de labios"/>
        <s v="Regular"/>
        <s v="Pasta dental"/>
        <s v="Cepillo dental"/>
        <s v="Enjuague bucal"/>
        <s v="Hilo dental y artículos especializados"/>
        <s v="Higiene bucal para niños"/>
        <s v="Accesorios"/>
        <s v="Talcos"/>
        <s v="Shampoo"/>
        <s v="Tinte femenino"/>
        <s v="Cepillos, Planchas y Accesorios"/>
        <s v="Tratamiento capilar"/>
        <s v="Acondicionadores"/>
        <s v="Gel, mousse y spray"/>
        <s v="Shampoo Anticaspa"/>
        <s v="Shampoo Infantil"/>
        <s v="Crema para peinar"/>
        <s v="Tinte masculino"/>
        <s v="Desmaquillante"/>
        <s v="Antiacné"/>
        <s v="Tratamiento facial"/>
        <s v="Crema facial"/>
        <s v="Accesorios faciales"/>
        <s v="Toallas y tampones"/>
        <s v="Incontinencia"/>
        <s v="Pedicure"/>
        <s v="Dermocosméticos"/>
        <s v="Cuidado de la Piel"/>
        <s v="Higiene Femenina"/>
        <s v="Antiacné PX"/>
        <s v="Cunas y encierros"/>
        <s v="Coches, asientos de auto y canguros"/>
        <s v="Accesorios Para Bebes"/>
        <s v="Vasos y platos"/>
        <s v="Bolsas para Basura"/>
        <s v="Bolsas para Cocina"/>
        <s v="Toallas de cocina"/>
        <s v="Servilletas"/>
        <s v="Papel aluminio y adherente"/>
        <s v="Palillos y Pajillas"/>
        <s v="Detergente en polvo"/>
        <s v="Detergente líquido"/>
        <s v="Tratamiento Diabetes"/>
        <s v="Rompope"/>
        <s v="Chocolates"/>
        <s v="Caramelos"/>
        <s v="Chicles"/>
        <s v="Gomitas"/>
        <s v="Sin Azúcar"/>
        <s v="Bombones"/>
        <s v="Energizante"/>
        <s v="Hidratante"/>
        <s v="Atún y Pescado"/>
        <s v="Vegetales Enlatados"/>
        <s v="Frijoles instantáneos"/>
        <s v="Frutas en Almíbar"/>
        <s v="Mariscos Enlatados"/>
        <s v="Aceitunas"/>
        <s v="Carnes Enlatadas"/>
        <s v="Especias"/>
        <s v="Sazonadores"/>
        <s v="Sal y Condimentos"/>
        <s v="Consomés"/>
        <s v="Antiácidos"/>
        <s v="Probióticos"/>
        <s v="Dolor y Malestar"/>
        <s v="Manzanas y peras"/>
        <s v="Fresa, frambuesa y moras"/>
        <s v="Bananos, Papayas y tropicales"/>
        <s v="Naranja, Limón y cítricos"/>
        <s v="Uvas, duraznos, y ciruelas"/>
        <s v="Frutas de temporada y exóticas"/>
        <s v="Frutas Congeladas"/>
        <s v="Verduras Congeladas"/>
        <s v="Galletas Dulces"/>
        <s v="Galletas Saladas"/>
        <s v="Galletas Integrales"/>
        <s v="Galletas de Avena y Cereal"/>
        <s v="Sabores Varios"/>
        <s v="Sabor Cola"/>
        <s v="Light y Sin Azúcar"/>
        <s v="Repostería"/>
        <s v="Harina de Trigo y Maíz"/>
        <s v="Para Hot Cakes"/>
        <s v="Saborizantes Artificiales"/>
        <s v="De Arroz"/>
        <s v="Chocolates para Repostería"/>
        <s v="Shampoo y jabón para bebé"/>
        <s v="Accesorios para baño de Bebes"/>
        <s v="Crema, gel y loción para bebé"/>
        <s v="Talco y aceite para bebé"/>
        <s v="Crema corporal"/>
        <s v="Desodorante masculino"/>
        <s v="Desodorante femenino"/>
        <s v="Jabón de tocador"/>
        <s v="Fragancias"/>
        <s v="Bloqueadores y Bronceadores"/>
        <s v="Accesorios para ducha"/>
        <s v="Jabón y gel corporal"/>
        <s v="Tratamiento corporal"/>
        <s v="Esmaltes"/>
        <s v="Jabón líquido"/>
        <s v="Manicure"/>
        <s v="Jabón líquido para manos"/>
        <s v="Crema para manos"/>
        <s v="Quitaesmaltes"/>
        <s v="Marrón"/>
        <s v="Pastoreo y Especializado"/>
        <s v="Blanco"/>
        <s v="Jabón de Barra"/>
        <s v="Jugo de Frutas"/>
        <s v="Néctar"/>
        <s v="Jugo de Verduras"/>
        <s v="Juguetes para bebes"/>
        <s v="Básicos"/>
        <s v="Lavaplatos en polvo y en pasta"/>
        <s v="Lavaplatos líquido"/>
        <s v="Leche Semi y Descremada"/>
        <s v="Evaporada"/>
        <s v="En Polvo"/>
        <s v="Leche Saborizada"/>
        <s v="Leche Deslactosada"/>
        <s v="Leche Entera"/>
        <s v="Condensada"/>
        <s v="Brandy"/>
        <s v="Ron"/>
        <s v="Whisky"/>
        <s v="Tequila"/>
        <s v="Ginebra"/>
        <s v="Vodka"/>
        <s v="Cognac"/>
        <s v="Desinfectantes"/>
        <s v="Limpiadores Multiusos"/>
        <s v="Insecticidas y Trampas"/>
        <s v="Cloro"/>
        <s v="Cuidado para Zapatos"/>
        <s v="Cera para Pisos"/>
        <s v="Limpiadores de Cocina"/>
        <s v="Toallitas Desinfectantes"/>
        <s v="Destapacaños"/>
        <s v="Limpiadores de Baño"/>
        <s v="Margarinas"/>
        <s v="Mantequillas"/>
        <s v="Camarones y mariscos"/>
        <s v="Filetes y Enteros"/>
        <s v="Alimento Húmedo Para Gatos"/>
        <s v="Alimento Húmedo Para Perros"/>
        <s v="Gasas y Vendas"/>
        <s v="Guantes y Cubrebocas"/>
        <s v="Alta Especialidad"/>
        <s v="Mermelada"/>
        <s v="Crema de Avellana y Mantequilla de Maní"/>
        <s v="Miel"/>
        <s v="Cajeta y Dulce de Leche"/>
        <s v="Gotas para los ojos"/>
        <s v="Empacados"/>
        <s v="Bizcochos"/>
        <s v="Pan Europeo y Rústico"/>
        <s v="Pan Tostado"/>
        <s v="Bagels"/>
        <s v="Bollos y Hot Dog"/>
        <s v="Bocadillos y Empanadas"/>
        <s v="Pan de Caja"/>
        <s v="Empanizadores"/>
        <s v="Crutones"/>
        <s v="Toallitas húmedas"/>
        <s v="Pañales Recién Nacido y Etapa 1"/>
        <s v="Pañales - Etapa 4"/>
        <s v="Pañales - Etapa 5"/>
        <s v="Pañales - Etapa 3"/>
        <s v="Pañales - Etapa 7"/>
        <s v="Pañales - Etapa 2"/>
        <s v="Pañales - Etapa 6"/>
        <s v="Ecológicos, entrenadores y para nadar"/>
        <s v="Pañuelos desechables"/>
        <s v="Empaques de 18 y 12 rollos"/>
        <s v="Salsa para Pasta y Pizza"/>
        <s v="Pasta Especial"/>
        <s v="Spaghetti"/>
        <s v="Fusilli"/>
        <s v="Fetuccini"/>
        <s v="Pollo"/>
        <s v="Pavo"/>
        <s v="Bebidas en Polvo"/>
        <s v="Líquido Concentrado"/>
        <s v="Helados"/>
        <s v="Pay y Pasteles"/>
        <s v="Barquillos y Conos"/>
        <s v="Hot Cakes y Wafles"/>
        <s v="Bebida de Almendra"/>
        <s v="Alimentos Veganos"/>
        <s v="Bebida de Soya"/>
        <s v="Bebida de Coco"/>
        <s v="Más Quesos"/>
        <s v="Queso Mozzarella"/>
        <s v="Queso Fresco"/>
        <s v="Queso Cottage"/>
        <s v="Queso Americano"/>
        <s v="Queso Crema"/>
        <s v="Queso Parmesano"/>
        <s v="Quitamanchas liquido"/>
        <s v="Pasteles y Pays"/>
        <s v="Carnes"/>
        <s v="Resfríos"/>
        <s v="Alergias"/>
        <s v="Mayonesa"/>
        <s v="Aderezos y Vinagretas"/>
        <s v="Salsa Picante"/>
        <s v="Cátsup y Mostaza"/>
        <s v="Vinagre"/>
        <s v="Salsa de Soya y Teriyaki"/>
        <s v="Salsas para Sazonar"/>
        <s v="Papas y frituras"/>
        <s v="Nueces y Almendras"/>
        <s v="Maní y otras semillas"/>
        <s v="Frutas Secas"/>
        <s v="Dip"/>
        <s v="Palomitas"/>
        <s v="Chicharrones"/>
        <s v="Suavizante Regular"/>
        <s v="Tortillas de Harina"/>
        <s v="Tortillas de Maíz"/>
        <s v="Tostadas"/>
        <s v="Pan Pita"/>
        <s v="Cebollas, papas y verduras de raíz"/>
        <s v="Ensaladas y empacados"/>
        <s v="Tomates, aguacates y básicos"/>
        <s v="Lechugas, espinacas y hojas verdes"/>
        <s v="Chiles, ajos, y pimientos"/>
        <s v="Hongos, brócolis y espárragos"/>
        <s v="Vino Tinto"/>
        <s v="Vino Blanco"/>
        <s v="Champagne y Espumoso"/>
        <s v="Sidras"/>
        <s v="Vino Rosado"/>
        <s v="Vitaminas"/>
        <s v="Suplementos Nutricionales"/>
        <s v="Calcio / Embarazo"/>
        <s v="Yogurt Batido"/>
        <s v="Yogurt Natural"/>
        <s v="Yogurt Bebible"/>
      </sharedItems>
    </cacheField>
    <cacheField name="Columna1" numFmtId="0">
      <sharedItems/>
    </cacheField>
    <cacheField name="lookup" numFmtId="0">
      <sharedItems containsSemiMixedTypes="0" containsString="0" containsNumber="1" containsInteger="1" minValue="1" maxValue="1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4">
  <r>
    <n v="12"/>
    <s v="Limpieza"/>
    <x v="0"/>
    <s v="Accesorios para limpieza"/>
    <x v="0"/>
    <x v="0"/>
    <s v="1211"/>
    <n v="1"/>
  </r>
  <r>
    <n v="12"/>
    <s v="Limpieza"/>
    <x v="0"/>
    <s v="Accesorios para limpieza"/>
    <x v="1"/>
    <x v="1"/>
    <s v="1212"/>
    <n v="1"/>
  </r>
  <r>
    <n v="12"/>
    <s v="Limpieza"/>
    <x v="0"/>
    <s v="Accesorios para limpieza"/>
    <x v="2"/>
    <x v="2"/>
    <s v="1213"/>
    <n v="1"/>
  </r>
  <r>
    <n v="12"/>
    <s v="Limpieza"/>
    <x v="0"/>
    <s v="Accesorios para limpieza"/>
    <x v="3"/>
    <x v="3"/>
    <s v="1214"/>
    <n v="1"/>
  </r>
  <r>
    <n v="12"/>
    <s v="Limpieza"/>
    <x v="0"/>
    <s v="Accesorios para limpieza"/>
    <x v="4"/>
    <x v="4"/>
    <s v="1215"/>
    <n v="1"/>
  </r>
  <r>
    <n v="13"/>
    <s v="Mascota"/>
    <x v="1"/>
    <s v="Accesorios para Perros"/>
    <x v="0"/>
    <x v="5"/>
    <s v="1321"/>
    <n v="2"/>
  </r>
  <r>
    <n v="1"/>
    <s v="Abarrotes"/>
    <x v="2"/>
    <s v="Aceites de cocina"/>
    <x v="0"/>
    <x v="6"/>
    <s v="131"/>
    <n v="3"/>
  </r>
  <r>
    <n v="1"/>
    <s v="Abarrotes"/>
    <x v="2"/>
    <s v="Aceites de cocina"/>
    <x v="1"/>
    <x v="7"/>
    <s v="132"/>
    <n v="3"/>
  </r>
  <r>
    <n v="1"/>
    <s v="Abarrotes"/>
    <x v="2"/>
    <s v="Aceites de cocina"/>
    <x v="2"/>
    <x v="8"/>
    <s v="133"/>
    <n v="3"/>
  </r>
  <r>
    <n v="1"/>
    <s v="Abarrotes"/>
    <x v="2"/>
    <s v="Aceites de cocina"/>
    <x v="3"/>
    <x v="9"/>
    <s v="134"/>
    <n v="3"/>
  </r>
  <r>
    <n v="1"/>
    <s v="Abarrotes"/>
    <x v="2"/>
    <s v="Aceites de cocina"/>
    <x v="4"/>
    <x v="10"/>
    <s v="135"/>
    <n v="3"/>
  </r>
  <r>
    <n v="9"/>
    <s v="Higiene y Belleza"/>
    <x v="3"/>
    <s v="Afeitado"/>
    <x v="0"/>
    <x v="11"/>
    <s v="941"/>
    <n v="4"/>
  </r>
  <r>
    <n v="9"/>
    <s v="Higiene y Belleza"/>
    <x v="3"/>
    <s v="Afeitado"/>
    <x v="1"/>
    <x v="12"/>
    <s v="942"/>
    <n v="4"/>
  </r>
  <r>
    <n v="10"/>
    <s v="Jugos y Bebidas"/>
    <x v="4"/>
    <s v="Agua"/>
    <x v="0"/>
    <x v="13"/>
    <s v="1051"/>
    <n v="5"/>
  </r>
  <r>
    <n v="10"/>
    <s v="Jugos y Bebidas"/>
    <x v="4"/>
    <s v="Agua"/>
    <x v="1"/>
    <x v="14"/>
    <s v="1052"/>
    <n v="5"/>
  </r>
  <r>
    <n v="13"/>
    <s v="Mascota"/>
    <x v="5"/>
    <s v="Alimento Humedo para Gatos"/>
    <x v="0"/>
    <x v="5"/>
    <s v="1361"/>
    <n v="6"/>
  </r>
  <r>
    <n v="13"/>
    <s v="Mascota"/>
    <x v="6"/>
    <s v="Alimento Humedo para Perros"/>
    <x v="0"/>
    <x v="5"/>
    <s v="1371"/>
    <n v="7"/>
  </r>
  <r>
    <n v="13"/>
    <s v="Mascota"/>
    <x v="7"/>
    <s v="Alimento seco para Gatos"/>
    <x v="0"/>
    <x v="5"/>
    <s v="1381"/>
    <n v="8"/>
  </r>
  <r>
    <n v="13"/>
    <s v="Mascota"/>
    <x v="8"/>
    <s v="Alimento seco para Perros"/>
    <x v="0"/>
    <x v="5"/>
    <s v="1391"/>
    <n v="9"/>
  </r>
  <r>
    <n v="13"/>
    <s v="Mascota"/>
    <x v="9"/>
    <s v="Alimento y accesorios otras Mascotas"/>
    <x v="0"/>
    <x v="5"/>
    <s v="13101"/>
    <n v="10"/>
  </r>
  <r>
    <n v="1"/>
    <s v="Abarrotes"/>
    <x v="10"/>
    <s v="Alimentos Instantáneos"/>
    <x v="0"/>
    <x v="15"/>
    <s v="1111"/>
    <n v="11"/>
  </r>
  <r>
    <n v="1"/>
    <s v="Abarrotes"/>
    <x v="10"/>
    <s v="Alimentos Instantáneos"/>
    <x v="1"/>
    <x v="16"/>
    <s v="1112"/>
    <n v="11"/>
  </r>
  <r>
    <n v="1"/>
    <s v="Abarrotes"/>
    <x v="10"/>
    <s v="Alimentos Instantáneos"/>
    <x v="2"/>
    <x v="17"/>
    <s v="1113"/>
    <n v="11"/>
  </r>
  <r>
    <n v="1"/>
    <s v="Abarrotes"/>
    <x v="10"/>
    <s v="Alimentos Instantáneos"/>
    <x v="3"/>
    <x v="18"/>
    <s v="1114"/>
    <n v="11"/>
  </r>
  <r>
    <n v="7"/>
    <s v="Farmacia"/>
    <x v="11"/>
    <s v="Analgésicos"/>
    <x v="0"/>
    <x v="19"/>
    <s v="7121"/>
    <n v="12"/>
  </r>
  <r>
    <n v="7"/>
    <s v="Farmacia"/>
    <x v="11"/>
    <s v="Analgésicos"/>
    <x v="1"/>
    <x v="20"/>
    <s v="7122"/>
    <n v="12"/>
  </r>
  <r>
    <n v="7"/>
    <s v="Farmacia"/>
    <x v="12"/>
    <s v="Antibiótico"/>
    <x v="0"/>
    <x v="5"/>
    <s v="7131"/>
    <n v="13"/>
  </r>
  <r>
    <n v="7"/>
    <s v="Farmacia"/>
    <x v="13"/>
    <s v="Anticonceptivos, hormonal y salud sexual"/>
    <x v="0"/>
    <x v="5"/>
    <s v="7141"/>
    <n v="14"/>
  </r>
  <r>
    <n v="7"/>
    <s v="Farmacia"/>
    <x v="14"/>
    <s v="Antimicótico"/>
    <x v="0"/>
    <x v="5"/>
    <s v="7151"/>
    <n v="15"/>
  </r>
  <r>
    <n v="7"/>
    <s v="Farmacia"/>
    <x v="15"/>
    <s v="Antiviral, gripe y tos"/>
    <x v="0"/>
    <x v="5"/>
    <s v="7161"/>
    <n v="16"/>
  </r>
  <r>
    <n v="13"/>
    <s v="Mascota"/>
    <x v="16"/>
    <s v="Arena y Accesorios para Gatos"/>
    <x v="0"/>
    <x v="5"/>
    <s v="13171"/>
    <n v="17"/>
  </r>
  <r>
    <n v="12"/>
    <s v="Limpieza"/>
    <x v="17"/>
    <s v="Aromatizantes"/>
    <x v="0"/>
    <x v="21"/>
    <s v="12181"/>
    <n v="18"/>
  </r>
  <r>
    <n v="12"/>
    <s v="Limpieza"/>
    <x v="17"/>
    <s v="Aromatizantes"/>
    <x v="1"/>
    <x v="22"/>
    <s v="12182"/>
    <n v="18"/>
  </r>
  <r>
    <n v="1"/>
    <s v="Abarrotes"/>
    <x v="18"/>
    <s v="Arroz, Frijol y Semillas"/>
    <x v="0"/>
    <x v="23"/>
    <s v="1191"/>
    <n v="19"/>
  </r>
  <r>
    <n v="1"/>
    <s v="Abarrotes"/>
    <x v="18"/>
    <s v="Arroz, Frijol y Semillas"/>
    <x v="1"/>
    <x v="24"/>
    <s v="1192"/>
    <n v="19"/>
  </r>
  <r>
    <n v="1"/>
    <s v="Abarrotes"/>
    <x v="18"/>
    <s v="Arroz, Frijol y Semillas"/>
    <x v="2"/>
    <x v="25"/>
    <s v="1193"/>
    <n v="19"/>
  </r>
  <r>
    <n v="1"/>
    <s v="Abarrotes"/>
    <x v="18"/>
    <s v="Arroz, Frijol y Semillas"/>
    <x v="3"/>
    <x v="26"/>
    <s v="1194"/>
    <n v="19"/>
  </r>
  <r>
    <n v="3"/>
    <s v="Bebes y Niños"/>
    <x v="19"/>
    <s v="Artículos para fiesta"/>
    <x v="0"/>
    <x v="27"/>
    <s v="3201"/>
    <n v="20"/>
  </r>
  <r>
    <n v="3"/>
    <s v="Bebes y Niños"/>
    <x v="19"/>
    <s v="Artículos para fiesta"/>
    <x v="1"/>
    <x v="28"/>
    <s v="3202"/>
    <n v="20"/>
  </r>
  <r>
    <n v="3"/>
    <s v="Bebes y Niños"/>
    <x v="19"/>
    <s v="Artículos para fiesta"/>
    <x v="2"/>
    <x v="29"/>
    <s v="3203"/>
    <n v="20"/>
  </r>
  <r>
    <n v="3"/>
    <s v="Bebes y Niños"/>
    <x v="19"/>
    <s v="Artículos para fiesta"/>
    <x v="3"/>
    <x v="30"/>
    <s v="3204"/>
    <n v="20"/>
  </r>
  <r>
    <n v="3"/>
    <s v="Bebes y Niños"/>
    <x v="19"/>
    <s v="Artículos para fiesta"/>
    <x v="4"/>
    <x v="31"/>
    <s v="3205"/>
    <n v="20"/>
  </r>
  <r>
    <n v="3"/>
    <s v="Bebes y Niños"/>
    <x v="19"/>
    <s v="Artículos para fiesta"/>
    <x v="5"/>
    <x v="32"/>
    <s v="3206"/>
    <n v="20"/>
  </r>
  <r>
    <n v="7"/>
    <s v="Farmacia"/>
    <x v="20"/>
    <s v="Asma, alergias y nasal"/>
    <x v="0"/>
    <x v="5"/>
    <s v="7211"/>
    <n v="21"/>
  </r>
  <r>
    <n v="1"/>
    <s v="Abarrotes"/>
    <x v="21"/>
    <s v="Azúcar y Postres"/>
    <x v="0"/>
    <x v="33"/>
    <s v="1221"/>
    <n v="22"/>
  </r>
  <r>
    <n v="1"/>
    <s v="Abarrotes"/>
    <x v="21"/>
    <s v="Azúcar y Postres"/>
    <x v="1"/>
    <x v="34"/>
    <s v="1222"/>
    <n v="22"/>
  </r>
  <r>
    <n v="1"/>
    <s v="Abarrotes"/>
    <x v="21"/>
    <s v="Azúcar y Postres"/>
    <x v="2"/>
    <x v="35"/>
    <s v="1223"/>
    <n v="22"/>
  </r>
  <r>
    <n v="1"/>
    <s v="Abarrotes"/>
    <x v="21"/>
    <s v="Azúcar y Postres"/>
    <x v="3"/>
    <x v="36"/>
    <s v="1224"/>
    <n v="22"/>
  </r>
  <r>
    <n v="7"/>
    <s v="Farmacia"/>
    <x v="22"/>
    <s v="Bienestar Sexual"/>
    <x v="0"/>
    <x v="37"/>
    <s v="7231"/>
    <n v="23"/>
  </r>
  <r>
    <n v="7"/>
    <s v="Farmacia"/>
    <x v="22"/>
    <s v="Bienestar Sexual"/>
    <x v="1"/>
    <x v="38"/>
    <s v="7232"/>
    <n v="23"/>
  </r>
  <r>
    <n v="7"/>
    <s v="Farmacia"/>
    <x v="22"/>
    <s v="Bienestar Sexual"/>
    <x v="2"/>
    <x v="39"/>
    <s v="7233"/>
    <n v="23"/>
  </r>
  <r>
    <n v="7"/>
    <s v="Farmacia"/>
    <x v="23"/>
    <s v="Bienestar, equipo médico y soluciones hospitalarias"/>
    <x v="0"/>
    <x v="5"/>
    <s v="7241"/>
    <n v="24"/>
  </r>
  <r>
    <n v="10"/>
    <s v="Jugos y Bebidas"/>
    <x v="24"/>
    <s v="Café y Te preparado"/>
    <x v="0"/>
    <x v="40"/>
    <s v="10251"/>
    <n v="25"/>
  </r>
  <r>
    <n v="10"/>
    <s v="Jugos y Bebidas"/>
    <x v="24"/>
    <s v="Café y Te preparado"/>
    <x v="1"/>
    <x v="41"/>
    <s v="10252"/>
    <n v="25"/>
  </r>
  <r>
    <n v="1"/>
    <s v="Abarrotes"/>
    <x v="25"/>
    <s v="Café, Té y Sustitutos"/>
    <x v="0"/>
    <x v="42"/>
    <s v="1261"/>
    <n v="26"/>
  </r>
  <r>
    <n v="1"/>
    <s v="Abarrotes"/>
    <x v="25"/>
    <s v="Café, Té y Sustitutos"/>
    <x v="1"/>
    <x v="43"/>
    <s v="1262"/>
    <n v="26"/>
  </r>
  <r>
    <n v="1"/>
    <s v="Abarrotes"/>
    <x v="25"/>
    <s v="Café, Té y Sustitutos"/>
    <x v="2"/>
    <x v="44"/>
    <s v="1263"/>
    <n v="26"/>
  </r>
  <r>
    <n v="1"/>
    <s v="Abarrotes"/>
    <x v="25"/>
    <s v="Café, Té y Sustitutos"/>
    <x v="3"/>
    <x v="45"/>
    <s v="1264"/>
    <n v="26"/>
  </r>
  <r>
    <n v="1"/>
    <s v="Abarrotes"/>
    <x v="25"/>
    <s v="Café, Té y Sustitutos"/>
    <x v="4"/>
    <x v="46"/>
    <s v="1265"/>
    <n v="26"/>
  </r>
  <r>
    <n v="1"/>
    <s v="Abarrotes"/>
    <x v="25"/>
    <s v="Café, Té y Sustitutos"/>
    <x v="5"/>
    <x v="47"/>
    <s v="1266"/>
    <n v="26"/>
  </r>
  <r>
    <n v="7"/>
    <s v="Farmacia"/>
    <x v="26"/>
    <s v="Cardiovascular &amp; Hipertensivo"/>
    <x v="0"/>
    <x v="5"/>
    <s v="7271"/>
    <n v="27"/>
  </r>
  <r>
    <n v="6"/>
    <s v="Embutidos"/>
    <x v="27"/>
    <s v="Carnes frías"/>
    <x v="0"/>
    <x v="48"/>
    <s v="6281"/>
    <n v="28"/>
  </r>
  <r>
    <n v="6"/>
    <s v="Embutidos"/>
    <x v="27"/>
    <s v="Carnes frías"/>
    <x v="1"/>
    <x v="49"/>
    <s v="6282"/>
    <n v="28"/>
  </r>
  <r>
    <n v="6"/>
    <s v="Embutidos"/>
    <x v="27"/>
    <s v="Carnes frías"/>
    <x v="2"/>
    <x v="50"/>
    <s v="6283"/>
    <n v="28"/>
  </r>
  <r>
    <n v="6"/>
    <s v="Embutidos"/>
    <x v="27"/>
    <s v="Carnes frías"/>
    <x v="3"/>
    <x v="51"/>
    <s v="6284"/>
    <n v="28"/>
  </r>
  <r>
    <n v="6"/>
    <s v="Embutidos"/>
    <x v="27"/>
    <s v="Carnes frías"/>
    <x v="4"/>
    <x v="52"/>
    <s v="6285"/>
    <n v="28"/>
  </r>
  <r>
    <n v="6"/>
    <s v="Embutidos"/>
    <x v="27"/>
    <s v="Carnes frías"/>
    <x v="5"/>
    <x v="53"/>
    <s v="6286"/>
    <n v="28"/>
  </r>
  <r>
    <n v="6"/>
    <s v="Embutidos"/>
    <x v="27"/>
    <s v="Carnes frías"/>
    <x v="6"/>
    <x v="54"/>
    <s v="6287"/>
    <n v="28"/>
  </r>
  <r>
    <n v="4"/>
    <s v="Carnes y Pescados"/>
    <x v="28"/>
    <s v="Cerdo"/>
    <x v="0"/>
    <x v="55"/>
    <s v="4291"/>
    <n v="29"/>
  </r>
  <r>
    <n v="1"/>
    <s v="Abarrotes"/>
    <x v="29"/>
    <s v="Cereales y Barras"/>
    <x v="0"/>
    <x v="56"/>
    <s v="1301"/>
    <n v="30"/>
  </r>
  <r>
    <n v="1"/>
    <s v="Abarrotes"/>
    <x v="29"/>
    <s v="Cereales y Barras"/>
    <x v="1"/>
    <x v="57"/>
    <s v="1302"/>
    <n v="30"/>
  </r>
  <r>
    <n v="1"/>
    <s v="Abarrotes"/>
    <x v="29"/>
    <s v="Cereales y Barras"/>
    <x v="2"/>
    <x v="58"/>
    <s v="1303"/>
    <n v="30"/>
  </r>
  <r>
    <n v="1"/>
    <s v="Abarrotes"/>
    <x v="29"/>
    <s v="Cereales y Barras"/>
    <x v="3"/>
    <x v="59"/>
    <s v="1304"/>
    <n v="30"/>
  </r>
  <r>
    <n v="5"/>
    <s v="Cervezas, Vinos y Licores"/>
    <x v="30"/>
    <s v="Cervezas"/>
    <x v="0"/>
    <x v="60"/>
    <s v="5311"/>
    <n v="31"/>
  </r>
  <r>
    <n v="7"/>
    <s v="Farmacia"/>
    <x v="31"/>
    <s v="Colesterol y Triglicérido"/>
    <x v="0"/>
    <x v="5"/>
    <s v="7321"/>
    <n v="32"/>
  </r>
  <r>
    <n v="12"/>
    <s v="Limpieza"/>
    <x v="32"/>
    <s v="Colorantes y Almidones"/>
    <x v="0"/>
    <x v="61"/>
    <s v="12331"/>
    <n v="33"/>
  </r>
  <r>
    <n v="2"/>
    <s v="Alimentos Congelados"/>
    <x v="33"/>
    <s v="Comida Fácil"/>
    <x v="0"/>
    <x v="62"/>
    <s v="2341"/>
    <n v="34"/>
  </r>
  <r>
    <n v="2"/>
    <s v="Alimentos Congelados"/>
    <x v="33"/>
    <s v="Comida Fácil"/>
    <x v="1"/>
    <x v="63"/>
    <s v="2342"/>
    <n v="34"/>
  </r>
  <r>
    <n v="2"/>
    <s v="Alimentos Congelados"/>
    <x v="33"/>
    <s v="Comida Fácil"/>
    <x v="2"/>
    <x v="64"/>
    <s v="2343"/>
    <n v="34"/>
  </r>
  <r>
    <n v="2"/>
    <s v="Alimentos Congelados"/>
    <x v="33"/>
    <s v="Comida Fácil"/>
    <x v="3"/>
    <x v="65"/>
    <s v="2344"/>
    <n v="34"/>
  </r>
  <r>
    <n v="2"/>
    <s v="Alimentos Congelados"/>
    <x v="33"/>
    <s v="Comida Fácil"/>
    <x v="4"/>
    <x v="66"/>
    <s v="2345"/>
    <n v="34"/>
  </r>
  <r>
    <n v="3"/>
    <s v="Bebes y Niños"/>
    <x v="34"/>
    <s v="Comida para bebé y lactancia"/>
    <x v="0"/>
    <x v="67"/>
    <s v="3351"/>
    <n v="35"/>
  </r>
  <r>
    <n v="3"/>
    <s v="Bebes y Niños"/>
    <x v="34"/>
    <s v="Comida para bebé y lactancia"/>
    <x v="1"/>
    <x v="68"/>
    <s v="3352"/>
    <n v="35"/>
  </r>
  <r>
    <n v="3"/>
    <s v="Bebes y Niños"/>
    <x v="34"/>
    <s v="Comida para bebé y lactancia"/>
    <x v="2"/>
    <x v="69"/>
    <s v="3353"/>
    <n v="35"/>
  </r>
  <r>
    <n v="3"/>
    <s v="Bebes y Niños"/>
    <x v="34"/>
    <s v="Comida para bebé y lactancia"/>
    <x v="3"/>
    <x v="70"/>
    <s v="3354"/>
    <n v="35"/>
  </r>
  <r>
    <n v="3"/>
    <s v="Bebes y Niños"/>
    <x v="34"/>
    <s v="Comida para bebé y lactancia"/>
    <x v="4"/>
    <x v="71"/>
    <s v="3355"/>
    <n v="35"/>
  </r>
  <r>
    <n v="3"/>
    <s v="Bebes y Niños"/>
    <x v="34"/>
    <s v="Comida para bebé y lactancia"/>
    <x v="5"/>
    <x v="72"/>
    <s v="3356"/>
    <n v="35"/>
  </r>
  <r>
    <n v="3"/>
    <s v="Bebes y Niños"/>
    <x v="34"/>
    <s v="Comida para bebé y lactancia"/>
    <x v="6"/>
    <x v="73"/>
    <s v="3357"/>
    <n v="35"/>
  </r>
  <r>
    <n v="3"/>
    <s v="Bebes y Niños"/>
    <x v="34"/>
    <s v="Comida para bebé y lactancia"/>
    <x v="7"/>
    <x v="74"/>
    <s v="3358"/>
    <n v="35"/>
  </r>
  <r>
    <n v="3"/>
    <s v="Bebes y Niños"/>
    <x v="34"/>
    <s v="Comida para bebé y lactancia"/>
    <x v="8"/>
    <x v="75"/>
    <s v="3359"/>
    <n v="35"/>
  </r>
  <r>
    <n v="14"/>
    <s v="Panadería y tortillería"/>
    <x v="35"/>
    <s v="Comida y Snacks"/>
    <x v="0"/>
    <x v="76"/>
    <s v="14361"/>
    <n v="36"/>
  </r>
  <r>
    <n v="14"/>
    <s v="Panadería y tortillería"/>
    <x v="35"/>
    <s v="Comida y Snacks"/>
    <x v="1"/>
    <x v="77"/>
    <s v="14362"/>
    <n v="36"/>
  </r>
  <r>
    <n v="5"/>
    <s v="Cervezas, Vinos y Licores"/>
    <x v="36"/>
    <s v="Coolers"/>
    <x v="0"/>
    <x v="78"/>
    <s v="5371"/>
    <n v="37"/>
  </r>
  <r>
    <n v="9"/>
    <s v="Higiene y Belleza"/>
    <x v="37"/>
    <s v="Cosméticos"/>
    <x v="0"/>
    <x v="79"/>
    <s v="9381"/>
    <n v="38"/>
  </r>
  <r>
    <n v="9"/>
    <s v="Higiene y Belleza"/>
    <x v="37"/>
    <s v="Cosméticos"/>
    <x v="1"/>
    <x v="80"/>
    <s v="9382"/>
    <n v="38"/>
  </r>
  <r>
    <n v="9"/>
    <s v="Higiene y Belleza"/>
    <x v="37"/>
    <s v="Cosméticos"/>
    <x v="2"/>
    <x v="81"/>
    <s v="9383"/>
    <n v="38"/>
  </r>
  <r>
    <n v="9"/>
    <s v="Higiene y Belleza"/>
    <x v="37"/>
    <s v="Cosméticos"/>
    <x v="3"/>
    <x v="82"/>
    <s v="9384"/>
    <n v="38"/>
  </r>
  <r>
    <n v="9"/>
    <s v="Higiene y Belleza"/>
    <x v="37"/>
    <s v="Cosméticos"/>
    <x v="4"/>
    <x v="83"/>
    <s v="9385"/>
    <n v="38"/>
  </r>
  <r>
    <n v="9"/>
    <s v="Higiene y Belleza"/>
    <x v="37"/>
    <s v="Cosméticos"/>
    <x v="5"/>
    <x v="84"/>
    <s v="9386"/>
    <n v="38"/>
  </r>
  <r>
    <n v="9"/>
    <s v="Higiene y Belleza"/>
    <x v="37"/>
    <s v="Cosméticos"/>
    <x v="6"/>
    <x v="85"/>
    <s v="9387"/>
    <n v="38"/>
  </r>
  <r>
    <n v="9"/>
    <s v="Higiene y Belleza"/>
    <x v="37"/>
    <s v="Cosméticos"/>
    <x v="7"/>
    <x v="86"/>
    <s v="9388"/>
    <n v="38"/>
  </r>
  <r>
    <n v="9"/>
    <s v="Higiene y Belleza"/>
    <x v="37"/>
    <s v="Cosméticos"/>
    <x v="8"/>
    <x v="87"/>
    <s v="9389"/>
    <n v="38"/>
  </r>
  <r>
    <n v="9"/>
    <s v="Higiene y Belleza"/>
    <x v="37"/>
    <s v="Cosméticos"/>
    <x v="9"/>
    <x v="88"/>
    <s v="93810"/>
    <n v="38"/>
  </r>
  <r>
    <n v="11"/>
    <s v="Lacteos"/>
    <x v="38"/>
    <s v="Crema o Natilla"/>
    <x v="0"/>
    <x v="89"/>
    <s v="11391"/>
    <n v="39"/>
  </r>
  <r>
    <n v="9"/>
    <s v="Higiene y Belleza"/>
    <x v="39"/>
    <s v="Cuidado Bucal"/>
    <x v="5"/>
    <x v="90"/>
    <s v="9406"/>
    <n v="40"/>
  </r>
  <r>
    <n v="9"/>
    <s v="Higiene y Belleza"/>
    <x v="39"/>
    <s v="Cuidado Bucal"/>
    <x v="6"/>
    <x v="91"/>
    <s v="9407"/>
    <n v="40"/>
  </r>
  <r>
    <n v="9"/>
    <s v="Higiene y Belleza"/>
    <x v="39"/>
    <s v="Cuidado Bucal"/>
    <x v="7"/>
    <x v="92"/>
    <s v="9408"/>
    <n v="40"/>
  </r>
  <r>
    <n v="9"/>
    <s v="Higiene y Belleza"/>
    <x v="39"/>
    <s v="Cuidado Bucal"/>
    <x v="8"/>
    <x v="93"/>
    <s v="9409"/>
    <n v="40"/>
  </r>
  <r>
    <n v="9"/>
    <s v="Higiene y Belleza"/>
    <x v="39"/>
    <s v="Cuidado Bucal"/>
    <x v="9"/>
    <x v="94"/>
    <s v="94010"/>
    <n v="40"/>
  </r>
  <r>
    <n v="7"/>
    <s v="Farmacia"/>
    <x v="40"/>
    <s v="Cuidado de los Pies"/>
    <x v="0"/>
    <x v="95"/>
    <s v="7411"/>
    <n v="41"/>
  </r>
  <r>
    <n v="7"/>
    <s v="Farmacia"/>
    <x v="40"/>
    <s v="Cuidado de los Pies"/>
    <x v="1"/>
    <x v="96"/>
    <s v="7412"/>
    <n v="41"/>
  </r>
  <r>
    <n v="9"/>
    <s v="Higiene y Belleza"/>
    <x v="41"/>
    <s v="Cuidado del cabello"/>
    <x v="0"/>
    <x v="97"/>
    <s v="9421"/>
    <n v="42"/>
  </r>
  <r>
    <n v="9"/>
    <s v="Higiene y Belleza"/>
    <x v="41"/>
    <s v="Cuidado del cabello"/>
    <x v="1"/>
    <x v="98"/>
    <s v="9422"/>
    <n v="42"/>
  </r>
  <r>
    <n v="9"/>
    <s v="Higiene y Belleza"/>
    <x v="41"/>
    <s v="Cuidado del cabello"/>
    <x v="2"/>
    <x v="99"/>
    <s v="9423"/>
    <n v="42"/>
  </r>
  <r>
    <n v="9"/>
    <s v="Higiene y Belleza"/>
    <x v="41"/>
    <s v="Cuidado del cabello"/>
    <x v="3"/>
    <x v="100"/>
    <s v="9424"/>
    <n v="42"/>
  </r>
  <r>
    <n v="9"/>
    <s v="Higiene y Belleza"/>
    <x v="41"/>
    <s v="Cuidado del cabello"/>
    <x v="4"/>
    <x v="101"/>
    <s v="9425"/>
    <n v="42"/>
  </r>
  <r>
    <n v="9"/>
    <s v="Higiene y Belleza"/>
    <x v="41"/>
    <s v="Cuidado del cabello"/>
    <x v="5"/>
    <x v="102"/>
    <s v="9426"/>
    <n v="42"/>
  </r>
  <r>
    <n v="9"/>
    <s v="Higiene y Belleza"/>
    <x v="41"/>
    <s v="Cuidado del cabello"/>
    <x v="6"/>
    <x v="103"/>
    <s v="9427"/>
    <n v="42"/>
  </r>
  <r>
    <n v="9"/>
    <s v="Higiene y Belleza"/>
    <x v="41"/>
    <s v="Cuidado del cabello"/>
    <x v="7"/>
    <x v="104"/>
    <s v="9428"/>
    <n v="42"/>
  </r>
  <r>
    <n v="9"/>
    <s v="Higiene y Belleza"/>
    <x v="41"/>
    <s v="Cuidado del cabello"/>
    <x v="8"/>
    <x v="105"/>
    <s v="9429"/>
    <n v="42"/>
  </r>
  <r>
    <n v="9"/>
    <s v="Higiene y Belleza"/>
    <x v="41"/>
    <s v="Cuidado del cabello"/>
    <x v="9"/>
    <x v="106"/>
    <s v="94210"/>
    <n v="42"/>
  </r>
  <r>
    <n v="9"/>
    <s v="Higiene y Belleza"/>
    <x v="42"/>
    <s v="Cuidado Facial"/>
    <x v="0"/>
    <x v="107"/>
    <s v="9431"/>
    <n v="43"/>
  </r>
  <r>
    <n v="9"/>
    <s v="Higiene y Belleza"/>
    <x v="42"/>
    <s v="Cuidado Facial"/>
    <x v="1"/>
    <x v="108"/>
    <s v="9432"/>
    <n v="43"/>
  </r>
  <r>
    <n v="9"/>
    <s v="Higiene y Belleza"/>
    <x v="42"/>
    <s v="Cuidado Facial"/>
    <x v="2"/>
    <x v="109"/>
    <s v="9433"/>
    <n v="43"/>
  </r>
  <r>
    <n v="9"/>
    <s v="Higiene y Belleza"/>
    <x v="42"/>
    <s v="Cuidado Facial"/>
    <x v="3"/>
    <x v="110"/>
    <s v="9434"/>
    <n v="43"/>
  </r>
  <r>
    <n v="9"/>
    <s v="Higiene y Belleza"/>
    <x v="42"/>
    <s v="Cuidado Facial"/>
    <x v="4"/>
    <x v="111"/>
    <s v="9435"/>
    <n v="43"/>
  </r>
  <r>
    <n v="9"/>
    <s v="Higiene y Belleza"/>
    <x v="43"/>
    <s v="Cuidado Intimo"/>
    <x v="0"/>
    <x v="112"/>
    <s v="9441"/>
    <n v="44"/>
  </r>
  <r>
    <n v="9"/>
    <s v="Higiene y Belleza"/>
    <x v="43"/>
    <s v="Cuidado Intimo"/>
    <x v="1"/>
    <x v="113"/>
    <s v="9442"/>
    <n v="44"/>
  </r>
  <r>
    <n v="9"/>
    <s v="Higiene y Belleza"/>
    <x v="44"/>
    <s v="Cuidado para pies"/>
    <x v="0"/>
    <x v="114"/>
    <s v="9451"/>
    <n v="45"/>
  </r>
  <r>
    <n v="7"/>
    <s v="Farmacia"/>
    <x v="45"/>
    <s v="Cuidado Personal"/>
    <x v="0"/>
    <x v="115"/>
    <s v="7461"/>
    <n v="46"/>
  </r>
  <r>
    <n v="7"/>
    <s v="Farmacia"/>
    <x v="45"/>
    <s v="Cuidado Personal"/>
    <x v="1"/>
    <x v="116"/>
    <s v="7462"/>
    <n v="46"/>
  </r>
  <r>
    <n v="7"/>
    <s v="Farmacia"/>
    <x v="45"/>
    <s v="Cuidado Personal"/>
    <x v="2"/>
    <x v="117"/>
    <s v="7463"/>
    <n v="46"/>
  </r>
  <r>
    <n v="7"/>
    <s v="Farmacia"/>
    <x v="45"/>
    <s v="Cuidado Personal"/>
    <x v="3"/>
    <x v="118"/>
    <s v="7464"/>
    <n v="46"/>
  </r>
  <r>
    <n v="3"/>
    <s v="Bebes y Niños"/>
    <x v="46"/>
    <s v="Cunas, coches y accesorios"/>
    <x v="0"/>
    <x v="119"/>
    <s v="3471"/>
    <n v="47"/>
  </r>
  <r>
    <n v="3"/>
    <s v="Bebes y Niños"/>
    <x v="46"/>
    <s v="Cunas, coches y accesorios"/>
    <x v="1"/>
    <x v="120"/>
    <s v="3472"/>
    <n v="47"/>
  </r>
  <r>
    <n v="3"/>
    <s v="Bebes y Niños"/>
    <x v="46"/>
    <s v="Cunas, coches y accesorios"/>
    <x v="1"/>
    <x v="121"/>
    <s v="3472"/>
    <n v="47"/>
  </r>
  <r>
    <n v="7"/>
    <s v="Farmacia"/>
    <x v="47"/>
    <s v="Dermatología"/>
    <x v="0"/>
    <x v="5"/>
    <s v="7481"/>
    <n v="48"/>
  </r>
  <r>
    <n v="12"/>
    <s v="Limpieza"/>
    <x v="48"/>
    <s v="Desechables"/>
    <x v="0"/>
    <x v="122"/>
    <s v="12491"/>
    <n v="49"/>
  </r>
  <r>
    <n v="12"/>
    <s v="Limpieza"/>
    <x v="48"/>
    <s v="Desechables"/>
    <x v="1"/>
    <x v="123"/>
    <s v="12492"/>
    <n v="49"/>
  </r>
  <r>
    <n v="12"/>
    <s v="Limpieza"/>
    <x v="48"/>
    <s v="Desechables"/>
    <x v="2"/>
    <x v="124"/>
    <s v="12493"/>
    <n v="49"/>
  </r>
  <r>
    <n v="12"/>
    <s v="Limpieza"/>
    <x v="48"/>
    <s v="Desechables"/>
    <x v="3"/>
    <x v="125"/>
    <s v="12494"/>
    <n v="49"/>
  </r>
  <r>
    <n v="12"/>
    <s v="Limpieza"/>
    <x v="48"/>
    <s v="Desechables"/>
    <x v="4"/>
    <x v="126"/>
    <s v="12495"/>
    <n v="49"/>
  </r>
  <r>
    <n v="12"/>
    <s v="Limpieza"/>
    <x v="48"/>
    <s v="Desechables"/>
    <x v="5"/>
    <x v="127"/>
    <s v="12496"/>
    <n v="49"/>
  </r>
  <r>
    <n v="12"/>
    <s v="Limpieza"/>
    <x v="48"/>
    <s v="Desechables"/>
    <x v="6"/>
    <x v="128"/>
    <s v="12497"/>
    <n v="49"/>
  </r>
  <r>
    <n v="12"/>
    <s v="Limpieza"/>
    <x v="49"/>
    <s v="Detergente"/>
    <x v="0"/>
    <x v="129"/>
    <s v="12501"/>
    <n v="50"/>
  </r>
  <r>
    <n v="12"/>
    <s v="Limpieza"/>
    <x v="49"/>
    <s v="Detergente"/>
    <x v="1"/>
    <x v="130"/>
    <s v="12502"/>
    <n v="50"/>
  </r>
  <r>
    <n v="7"/>
    <s v="Farmacia"/>
    <x v="50"/>
    <s v="Diabetes"/>
    <x v="0"/>
    <x v="131"/>
    <s v="7511"/>
    <n v="51"/>
  </r>
  <r>
    <n v="7"/>
    <s v="Farmacia"/>
    <x v="51"/>
    <s v="Diabetes y tiroides"/>
    <x v="0"/>
    <x v="5"/>
    <s v="7521"/>
    <n v="52"/>
  </r>
  <r>
    <n v="5"/>
    <s v="Cervezas, Vinos y Licores"/>
    <x v="52"/>
    <s v="Digestivos"/>
    <x v="0"/>
    <x v="132"/>
    <s v="5531"/>
    <n v="53"/>
  </r>
  <r>
    <n v="7"/>
    <s v="Farmacia"/>
    <x v="53"/>
    <s v="Dolor e inflamación"/>
    <x v="0"/>
    <x v="5"/>
    <s v="7541"/>
    <n v="54"/>
  </r>
  <r>
    <n v="1"/>
    <s v="Abarrotes"/>
    <x v="54"/>
    <s v="Dulces y Chocolates"/>
    <x v="0"/>
    <x v="133"/>
    <s v="1551"/>
    <n v="55"/>
  </r>
  <r>
    <n v="1"/>
    <s v="Abarrotes"/>
    <x v="54"/>
    <s v="Dulces y Chocolates"/>
    <x v="1"/>
    <x v="134"/>
    <s v="1552"/>
    <n v="55"/>
  </r>
  <r>
    <n v="1"/>
    <s v="Abarrotes"/>
    <x v="54"/>
    <s v="Dulces y Chocolates"/>
    <x v="2"/>
    <x v="135"/>
    <s v="1553"/>
    <n v="55"/>
  </r>
  <r>
    <n v="1"/>
    <s v="Abarrotes"/>
    <x v="54"/>
    <s v="Dulces y Chocolates"/>
    <x v="3"/>
    <x v="136"/>
    <s v="1554"/>
    <n v="55"/>
  </r>
  <r>
    <n v="1"/>
    <s v="Abarrotes"/>
    <x v="54"/>
    <s v="Dulces y Chocolates"/>
    <x v="4"/>
    <x v="137"/>
    <s v="1555"/>
    <n v="55"/>
  </r>
  <r>
    <n v="1"/>
    <s v="Abarrotes"/>
    <x v="54"/>
    <s v="Dulces y Chocolates"/>
    <x v="5"/>
    <x v="138"/>
    <s v="1556"/>
    <n v="55"/>
  </r>
  <r>
    <n v="7"/>
    <s v="Farmacia"/>
    <x v="55"/>
    <s v="Embarazo &amp; lactancia infantil"/>
    <x v="0"/>
    <x v="5"/>
    <s v="7561"/>
    <n v="56"/>
  </r>
  <r>
    <n v="10"/>
    <s v="Jugos y Bebidas"/>
    <x v="56"/>
    <s v="Energizantes e Hidratantes"/>
    <x v="0"/>
    <x v="139"/>
    <s v="10571"/>
    <n v="57"/>
  </r>
  <r>
    <n v="10"/>
    <s v="Jugos y Bebidas"/>
    <x v="56"/>
    <s v="Energizantes e Hidratantes"/>
    <x v="1"/>
    <x v="140"/>
    <s v="10572"/>
    <n v="57"/>
  </r>
  <r>
    <n v="1"/>
    <s v="Abarrotes"/>
    <x v="57"/>
    <s v="Enlatados y Conservas"/>
    <x v="0"/>
    <x v="141"/>
    <s v="1581"/>
    <n v="58"/>
  </r>
  <r>
    <n v="1"/>
    <s v="Abarrotes"/>
    <x v="57"/>
    <s v="Enlatados y Conservas"/>
    <x v="1"/>
    <x v="142"/>
    <s v="1582"/>
    <n v="58"/>
  </r>
  <r>
    <n v="1"/>
    <s v="Abarrotes"/>
    <x v="57"/>
    <s v="Enlatados y Conservas"/>
    <x v="2"/>
    <x v="143"/>
    <s v="1583"/>
    <n v="58"/>
  </r>
  <r>
    <n v="1"/>
    <s v="Abarrotes"/>
    <x v="57"/>
    <s v="Enlatados y Conservas"/>
    <x v="3"/>
    <x v="144"/>
    <s v="1584"/>
    <n v="58"/>
  </r>
  <r>
    <n v="1"/>
    <s v="Abarrotes"/>
    <x v="57"/>
    <s v="Enlatados y Conservas"/>
    <x v="4"/>
    <x v="145"/>
    <s v="1585"/>
    <n v="58"/>
  </r>
  <r>
    <n v="1"/>
    <s v="Abarrotes"/>
    <x v="57"/>
    <s v="Enlatados y Conservas"/>
    <x v="5"/>
    <x v="146"/>
    <s v="1586"/>
    <n v="58"/>
  </r>
  <r>
    <n v="1"/>
    <s v="Abarrotes"/>
    <x v="57"/>
    <s v="Enlatados y Conservas"/>
    <x v="6"/>
    <x v="147"/>
    <s v="1587"/>
    <n v="58"/>
  </r>
  <r>
    <n v="1"/>
    <s v="Abarrotes"/>
    <x v="58"/>
    <s v="Especiales y Sazonadores"/>
    <x v="0"/>
    <x v="148"/>
    <s v="1591"/>
    <n v="59"/>
  </r>
  <r>
    <n v="1"/>
    <s v="Abarrotes"/>
    <x v="58"/>
    <s v="Especiales y Sazonadores"/>
    <x v="1"/>
    <x v="149"/>
    <s v="1592"/>
    <n v="59"/>
  </r>
  <r>
    <n v="1"/>
    <s v="Abarrotes"/>
    <x v="58"/>
    <s v="Especiales y Sazonadores"/>
    <x v="2"/>
    <x v="150"/>
    <s v="1593"/>
    <n v="59"/>
  </r>
  <r>
    <n v="1"/>
    <s v="Abarrotes"/>
    <x v="58"/>
    <s v="Especiales y Sazonadores"/>
    <x v="3"/>
    <x v="151"/>
    <s v="1594"/>
    <n v="59"/>
  </r>
  <r>
    <n v="1"/>
    <s v="Abarrotes"/>
    <x v="59"/>
    <s v="Especias y Sazonadores"/>
    <x v="0"/>
    <x v="148"/>
    <s v="1601"/>
    <n v="60"/>
  </r>
  <r>
    <n v="1"/>
    <s v="Abarrotes"/>
    <x v="59"/>
    <s v="Especias y Sazonadores"/>
    <x v="1"/>
    <x v="149"/>
    <s v="1602"/>
    <n v="60"/>
  </r>
  <r>
    <n v="1"/>
    <s v="Abarrotes"/>
    <x v="59"/>
    <s v="Especias y Sazonadores"/>
    <x v="2"/>
    <x v="150"/>
    <s v="1603"/>
    <n v="60"/>
  </r>
  <r>
    <n v="1"/>
    <s v="Abarrotes"/>
    <x v="59"/>
    <s v="Especias y Sazonadores"/>
    <x v="3"/>
    <x v="151"/>
    <s v="1604"/>
    <n v="60"/>
  </r>
  <r>
    <n v="7"/>
    <s v="Farmacia"/>
    <x v="60"/>
    <s v="Estomacales"/>
    <x v="0"/>
    <x v="152"/>
    <s v="7611"/>
    <n v="61"/>
  </r>
  <r>
    <n v="7"/>
    <s v="Farmacia"/>
    <x v="60"/>
    <s v="Estomacales"/>
    <x v="1"/>
    <x v="153"/>
    <s v="7612"/>
    <n v="61"/>
  </r>
  <r>
    <n v="7"/>
    <s v="Farmacia"/>
    <x v="60"/>
    <s v="Estomacales"/>
    <x v="2"/>
    <x v="154"/>
    <s v="7613"/>
    <n v="61"/>
  </r>
  <r>
    <n v="8"/>
    <s v="Frutas y Verduras"/>
    <x v="61"/>
    <s v="Frutas"/>
    <x v="0"/>
    <x v="155"/>
    <s v="8621"/>
    <n v="62"/>
  </r>
  <r>
    <n v="8"/>
    <s v="Frutas y Verduras"/>
    <x v="61"/>
    <s v="Frutas"/>
    <x v="1"/>
    <x v="156"/>
    <s v="8622"/>
    <n v="62"/>
  </r>
  <r>
    <n v="8"/>
    <s v="Frutas y Verduras"/>
    <x v="61"/>
    <s v="Frutas"/>
    <x v="2"/>
    <x v="157"/>
    <s v="8623"/>
    <n v="62"/>
  </r>
  <r>
    <n v="8"/>
    <s v="Frutas y Verduras"/>
    <x v="61"/>
    <s v="Frutas"/>
    <x v="3"/>
    <x v="158"/>
    <s v="8624"/>
    <n v="62"/>
  </r>
  <r>
    <n v="8"/>
    <s v="Frutas y Verduras"/>
    <x v="61"/>
    <s v="Frutas"/>
    <x v="4"/>
    <x v="159"/>
    <s v="8625"/>
    <n v="62"/>
  </r>
  <r>
    <n v="8"/>
    <s v="Frutas y Verduras"/>
    <x v="61"/>
    <s v="Frutas"/>
    <x v="5"/>
    <x v="160"/>
    <s v="8626"/>
    <n v="62"/>
  </r>
  <r>
    <n v="2"/>
    <s v="Alimentos Congelados"/>
    <x v="62"/>
    <s v="Frutas y Verdura Congelada"/>
    <x v="0"/>
    <x v="161"/>
    <s v="2631"/>
    <n v="63"/>
  </r>
  <r>
    <n v="2"/>
    <s v="Alimentos Congelados"/>
    <x v="62"/>
    <s v="Frutas y Verdura Congelada"/>
    <x v="1"/>
    <x v="162"/>
    <s v="2632"/>
    <n v="63"/>
  </r>
  <r>
    <n v="1"/>
    <s v="Abarrotes"/>
    <x v="63"/>
    <s v="Galletas"/>
    <x v="0"/>
    <x v="163"/>
    <s v="1641"/>
    <n v="64"/>
  </r>
  <r>
    <n v="1"/>
    <s v="Abarrotes"/>
    <x v="63"/>
    <s v="Galletas"/>
    <x v="1"/>
    <x v="164"/>
    <s v="1642"/>
    <n v="64"/>
  </r>
  <r>
    <n v="1"/>
    <s v="Abarrotes"/>
    <x v="63"/>
    <s v="Galletas"/>
    <x v="2"/>
    <x v="165"/>
    <s v="1643"/>
    <n v="64"/>
  </r>
  <r>
    <n v="1"/>
    <s v="Abarrotes"/>
    <x v="63"/>
    <s v="Galletas"/>
    <x v="3"/>
    <x v="166"/>
    <s v="1644"/>
    <n v="64"/>
  </r>
  <r>
    <n v="10"/>
    <s v="Jugos y Bebidas"/>
    <x v="64"/>
    <s v="Gaseosas"/>
    <x v="0"/>
    <x v="167"/>
    <s v="10651"/>
    <n v="65"/>
  </r>
  <r>
    <n v="10"/>
    <s v="Jugos y Bebidas"/>
    <x v="64"/>
    <s v="Gaseosas"/>
    <x v="1"/>
    <x v="168"/>
    <s v="10652"/>
    <n v="65"/>
  </r>
  <r>
    <n v="10"/>
    <s v="Jugos y Bebidas"/>
    <x v="64"/>
    <s v="Gaseosas"/>
    <x v="2"/>
    <x v="169"/>
    <s v="10653"/>
    <n v="65"/>
  </r>
  <r>
    <n v="1"/>
    <s v="Abarrotes"/>
    <x v="65"/>
    <s v="Harinas y Repostería"/>
    <x v="0"/>
    <x v="170"/>
    <s v="1661"/>
    <n v="66"/>
  </r>
  <r>
    <n v="1"/>
    <s v="Abarrotes"/>
    <x v="65"/>
    <s v="Harinas y Repostería"/>
    <x v="1"/>
    <x v="171"/>
    <s v="1662"/>
    <n v="66"/>
  </r>
  <r>
    <n v="1"/>
    <s v="Abarrotes"/>
    <x v="65"/>
    <s v="Harinas y Repostería"/>
    <x v="2"/>
    <x v="172"/>
    <s v="1663"/>
    <n v="66"/>
  </r>
  <r>
    <n v="1"/>
    <s v="Abarrotes"/>
    <x v="65"/>
    <s v="Harinas y Repostería"/>
    <x v="3"/>
    <x v="173"/>
    <s v="1664"/>
    <n v="66"/>
  </r>
  <r>
    <n v="1"/>
    <s v="Abarrotes"/>
    <x v="65"/>
    <s v="Harinas y Repostería"/>
    <x v="4"/>
    <x v="174"/>
    <s v="1665"/>
    <n v="66"/>
  </r>
  <r>
    <n v="1"/>
    <s v="Abarrotes"/>
    <x v="65"/>
    <s v="Harinas y Repostería"/>
    <x v="5"/>
    <x v="175"/>
    <s v="1666"/>
    <n v="66"/>
  </r>
  <r>
    <n v="3"/>
    <s v="Bebes y Niños"/>
    <x v="66"/>
    <s v="Higiene del bebé"/>
    <x v="0"/>
    <x v="176"/>
    <s v="3671"/>
    <n v="67"/>
  </r>
  <r>
    <n v="3"/>
    <s v="Bebes y Niños"/>
    <x v="66"/>
    <s v="Higiene del bebé"/>
    <x v="1"/>
    <x v="177"/>
    <s v="3672"/>
    <n v="67"/>
  </r>
  <r>
    <n v="3"/>
    <s v="Bebes y Niños"/>
    <x v="66"/>
    <s v="Higiene del bebé"/>
    <x v="2"/>
    <x v="178"/>
    <s v="3673"/>
    <n v="67"/>
  </r>
  <r>
    <n v="3"/>
    <s v="Bebes y Niños"/>
    <x v="66"/>
    <s v="Higiene del bebé"/>
    <x v="3"/>
    <x v="179"/>
    <s v="3674"/>
    <n v="67"/>
  </r>
  <r>
    <n v="9"/>
    <s v="Higiene y Belleza"/>
    <x v="67"/>
    <s v="Higiene y cuidado corporal"/>
    <x v="0"/>
    <x v="180"/>
    <s v="9681"/>
    <n v="68"/>
  </r>
  <r>
    <n v="9"/>
    <s v="Higiene y Belleza"/>
    <x v="67"/>
    <s v="Higiene y cuidado corporal"/>
    <x v="1"/>
    <x v="181"/>
    <s v="9682"/>
    <n v="68"/>
  </r>
  <r>
    <n v="9"/>
    <s v="Higiene y Belleza"/>
    <x v="67"/>
    <s v="Higiene y cuidado corporal"/>
    <x v="2"/>
    <x v="182"/>
    <s v="9683"/>
    <n v="68"/>
  </r>
  <r>
    <n v="9"/>
    <s v="Higiene y Belleza"/>
    <x v="67"/>
    <s v="Higiene y cuidado corporal"/>
    <x v="3"/>
    <x v="183"/>
    <s v="9684"/>
    <n v="68"/>
  </r>
  <r>
    <n v="9"/>
    <s v="Higiene y Belleza"/>
    <x v="67"/>
    <s v="Higiene y cuidado corporal"/>
    <x v="4"/>
    <x v="184"/>
    <s v="9685"/>
    <n v="68"/>
  </r>
  <r>
    <n v="9"/>
    <s v="Higiene y Belleza"/>
    <x v="67"/>
    <s v="Higiene y cuidado corporal"/>
    <x v="5"/>
    <x v="185"/>
    <s v="9686"/>
    <n v="68"/>
  </r>
  <r>
    <n v="9"/>
    <s v="Higiene y Belleza"/>
    <x v="67"/>
    <s v="Higiene y cuidado corporal"/>
    <x v="6"/>
    <x v="186"/>
    <s v="9687"/>
    <n v="68"/>
  </r>
  <r>
    <n v="9"/>
    <s v="Higiene y Belleza"/>
    <x v="67"/>
    <s v="Higiene y cuidado corporal"/>
    <x v="7"/>
    <x v="187"/>
    <s v="9688"/>
    <n v="68"/>
  </r>
  <r>
    <n v="9"/>
    <s v="Higiene y Belleza"/>
    <x v="67"/>
    <s v="Higiene y cuidado corporal"/>
    <x v="8"/>
    <x v="188"/>
    <s v="9689"/>
    <n v="68"/>
  </r>
  <r>
    <n v="9"/>
    <s v="Higiene y Belleza"/>
    <x v="68"/>
    <s v="Higiene y cuidado para manos"/>
    <x v="0"/>
    <x v="189"/>
    <s v="9691"/>
    <n v="69"/>
  </r>
  <r>
    <n v="9"/>
    <s v="Higiene y Belleza"/>
    <x v="68"/>
    <s v="Higiene y cuidado para manos"/>
    <x v="1"/>
    <x v="190"/>
    <s v="9692"/>
    <n v="69"/>
  </r>
  <r>
    <n v="9"/>
    <s v="Higiene y Belleza"/>
    <x v="68"/>
    <s v="Higiene y cuidado para manos"/>
    <x v="2"/>
    <x v="191"/>
    <s v="9693"/>
    <n v="69"/>
  </r>
  <r>
    <n v="9"/>
    <s v="Higiene y Belleza"/>
    <x v="68"/>
    <s v="Higiene y cuidado para manos"/>
    <x v="3"/>
    <x v="192"/>
    <s v="9694"/>
    <n v="69"/>
  </r>
  <r>
    <n v="9"/>
    <s v="Higiene y Belleza"/>
    <x v="68"/>
    <s v="Higiene y cuidado para manos"/>
    <x v="4"/>
    <x v="193"/>
    <s v="9695"/>
    <n v="69"/>
  </r>
  <r>
    <n v="9"/>
    <s v="Higiene y Belleza"/>
    <x v="68"/>
    <s v="Higiene y cuidado para manos"/>
    <x v="5"/>
    <x v="194"/>
    <s v="9696"/>
    <n v="69"/>
  </r>
  <r>
    <n v="11"/>
    <s v="Lacteos"/>
    <x v="69"/>
    <s v="Huevo"/>
    <x v="0"/>
    <x v="79"/>
    <s v="11701"/>
    <n v="70"/>
  </r>
  <r>
    <n v="11"/>
    <s v="Lacteos"/>
    <x v="69"/>
    <s v="Huevo"/>
    <x v="1"/>
    <x v="195"/>
    <s v="11702"/>
    <n v="70"/>
  </r>
  <r>
    <n v="11"/>
    <s v="Lacteos"/>
    <x v="69"/>
    <s v="Huevo"/>
    <x v="2"/>
    <x v="196"/>
    <s v="11703"/>
    <n v="70"/>
  </r>
  <r>
    <n v="11"/>
    <s v="Lacteos"/>
    <x v="69"/>
    <s v="Huevo"/>
    <x v="3"/>
    <x v="197"/>
    <s v="11704"/>
    <n v="70"/>
  </r>
  <r>
    <n v="12"/>
    <s v="Limpieza"/>
    <x v="70"/>
    <s v="Jabón de lavandería"/>
    <x v="0"/>
    <x v="198"/>
    <s v="12711"/>
    <n v="71"/>
  </r>
  <r>
    <n v="10"/>
    <s v="Jugos y Bebidas"/>
    <x v="71"/>
    <s v="Jugos y Néctares"/>
    <x v="0"/>
    <x v="199"/>
    <s v="10721"/>
    <n v="72"/>
  </r>
  <r>
    <n v="10"/>
    <s v="Jugos y Bebidas"/>
    <x v="71"/>
    <s v="Jugos y Néctares"/>
    <x v="1"/>
    <x v="200"/>
    <s v="10722"/>
    <n v="72"/>
  </r>
  <r>
    <n v="10"/>
    <s v="Jugos y Bebidas"/>
    <x v="71"/>
    <s v="Jugos y Néctares"/>
    <x v="2"/>
    <x v="201"/>
    <s v="10723"/>
    <n v="72"/>
  </r>
  <r>
    <n v="3"/>
    <s v="Bebes y Niños"/>
    <x v="72"/>
    <s v="Juguetes para bebe y estimulación temprana"/>
    <x v="0"/>
    <x v="202"/>
    <s v="3731"/>
    <n v="73"/>
  </r>
  <r>
    <n v="9"/>
    <s v="Higiene y Belleza"/>
    <x v="73"/>
    <s v="Kits de viaje"/>
    <x v="0"/>
    <x v="203"/>
    <s v="9741"/>
    <n v="74"/>
  </r>
  <r>
    <n v="12"/>
    <s v="Limpieza"/>
    <x v="74"/>
    <s v="Lavaplatos"/>
    <x v="0"/>
    <x v="204"/>
    <s v="12751"/>
    <n v="75"/>
  </r>
  <r>
    <n v="12"/>
    <s v="Limpieza"/>
    <x v="74"/>
    <s v="Lavaplatos"/>
    <x v="1"/>
    <x v="205"/>
    <s v="12752"/>
    <n v="75"/>
  </r>
  <r>
    <n v="1"/>
    <s v="Abarrotes"/>
    <x v="75"/>
    <s v="Leche"/>
    <x v="0"/>
    <x v="206"/>
    <s v="1761"/>
    <n v="76"/>
  </r>
  <r>
    <n v="1"/>
    <s v="Abarrotes"/>
    <x v="75"/>
    <s v="Leche"/>
    <x v="1"/>
    <x v="207"/>
    <s v="1762"/>
    <n v="76"/>
  </r>
  <r>
    <n v="1"/>
    <s v="Abarrotes"/>
    <x v="75"/>
    <s v="Leche"/>
    <x v="2"/>
    <x v="208"/>
    <s v="1763"/>
    <n v="76"/>
  </r>
  <r>
    <n v="11"/>
    <s v="Lacteos"/>
    <x v="75"/>
    <s v="Leche"/>
    <x v="0"/>
    <x v="208"/>
    <s v="11761"/>
    <n v="76"/>
  </r>
  <r>
    <n v="11"/>
    <s v="Lacteos"/>
    <x v="75"/>
    <s v="Leche"/>
    <x v="1"/>
    <x v="209"/>
    <s v="11762"/>
    <n v="76"/>
  </r>
  <r>
    <n v="11"/>
    <s v="Lacteos"/>
    <x v="75"/>
    <s v="Leche"/>
    <x v="2"/>
    <x v="206"/>
    <s v="11763"/>
    <n v="76"/>
  </r>
  <r>
    <n v="11"/>
    <s v="Lacteos"/>
    <x v="75"/>
    <s v="Leche"/>
    <x v="3"/>
    <x v="210"/>
    <s v="11764"/>
    <n v="76"/>
  </r>
  <r>
    <n v="11"/>
    <s v="Lacteos"/>
    <x v="75"/>
    <s v="Leche"/>
    <x v="4"/>
    <x v="211"/>
    <s v="11765"/>
    <n v="76"/>
  </r>
  <r>
    <n v="11"/>
    <s v="Lacteos"/>
    <x v="75"/>
    <s v="Leche"/>
    <x v="5"/>
    <x v="212"/>
    <s v="11766"/>
    <n v="76"/>
  </r>
  <r>
    <n v="11"/>
    <s v="Lacteos"/>
    <x v="75"/>
    <s v="Leche"/>
    <x v="6"/>
    <x v="207"/>
    <s v="11767"/>
    <n v="76"/>
  </r>
  <r>
    <n v="5"/>
    <s v="Cervezas, Vinos y Licores"/>
    <x v="76"/>
    <s v="Licores"/>
    <x v="0"/>
    <x v="213"/>
    <s v="5781"/>
    <n v="78"/>
  </r>
  <r>
    <n v="5"/>
    <s v="Cervezas, Vinos y Licores"/>
    <x v="76"/>
    <s v="Licores"/>
    <x v="1"/>
    <x v="214"/>
    <s v="5782"/>
    <n v="78"/>
  </r>
  <r>
    <n v="5"/>
    <s v="Cervezas, Vinos y Licores"/>
    <x v="76"/>
    <s v="Licores"/>
    <x v="2"/>
    <x v="215"/>
    <s v="5783"/>
    <n v="78"/>
  </r>
  <r>
    <n v="5"/>
    <s v="Cervezas, Vinos y Licores"/>
    <x v="76"/>
    <s v="Licores"/>
    <x v="3"/>
    <x v="216"/>
    <s v="5784"/>
    <n v="78"/>
  </r>
  <r>
    <n v="5"/>
    <s v="Cervezas, Vinos y Licores"/>
    <x v="76"/>
    <s v="Licores"/>
    <x v="4"/>
    <x v="217"/>
    <s v="5785"/>
    <n v="78"/>
  </r>
  <r>
    <n v="5"/>
    <s v="Cervezas, Vinos y Licores"/>
    <x v="76"/>
    <s v="Licores"/>
    <x v="5"/>
    <x v="218"/>
    <s v="5786"/>
    <n v="78"/>
  </r>
  <r>
    <n v="5"/>
    <s v="Cervezas, Vinos y Licores"/>
    <x v="76"/>
    <s v="Licores"/>
    <x v="6"/>
    <x v="219"/>
    <s v="5787"/>
    <n v="78"/>
  </r>
  <r>
    <n v="12"/>
    <s v="Limpieza"/>
    <x v="77"/>
    <s v="Limpieza del hogar"/>
    <x v="0"/>
    <x v="220"/>
    <s v="12791"/>
    <n v="79"/>
  </r>
  <r>
    <n v="12"/>
    <s v="Limpieza"/>
    <x v="77"/>
    <s v="Limpieza del hogar"/>
    <x v="1"/>
    <x v="221"/>
    <s v="12792"/>
    <n v="79"/>
  </r>
  <r>
    <n v="12"/>
    <s v="Limpieza"/>
    <x v="77"/>
    <s v="Limpieza del hogar"/>
    <x v="2"/>
    <x v="222"/>
    <s v="12793"/>
    <n v="79"/>
  </r>
  <r>
    <n v="12"/>
    <s v="Limpieza"/>
    <x v="77"/>
    <s v="Limpieza del hogar"/>
    <x v="3"/>
    <x v="223"/>
    <s v="12794"/>
    <n v="79"/>
  </r>
  <r>
    <n v="12"/>
    <s v="Limpieza"/>
    <x v="77"/>
    <s v="Limpieza del hogar"/>
    <x v="4"/>
    <x v="224"/>
    <s v="12795"/>
    <n v="79"/>
  </r>
  <r>
    <n v="12"/>
    <s v="Limpieza"/>
    <x v="77"/>
    <s v="Limpieza del hogar"/>
    <x v="5"/>
    <x v="225"/>
    <s v="12796"/>
    <n v="79"/>
  </r>
  <r>
    <n v="12"/>
    <s v="Limpieza"/>
    <x v="77"/>
    <s v="Limpieza del hogar"/>
    <x v="6"/>
    <x v="226"/>
    <s v="12797"/>
    <n v="79"/>
  </r>
  <r>
    <n v="12"/>
    <s v="Limpieza"/>
    <x v="77"/>
    <s v="Limpieza del hogar"/>
    <x v="7"/>
    <x v="227"/>
    <s v="12798"/>
    <n v="79"/>
  </r>
  <r>
    <n v="12"/>
    <s v="Limpieza"/>
    <x v="77"/>
    <s v="Limpieza del hogar"/>
    <x v="8"/>
    <x v="228"/>
    <s v="12799"/>
    <n v="79"/>
  </r>
  <r>
    <n v="12"/>
    <s v="Limpieza"/>
    <x v="77"/>
    <s v="Limpieza del hogar"/>
    <x v="9"/>
    <x v="229"/>
    <s v="127910"/>
    <n v="79"/>
  </r>
  <r>
    <n v="13"/>
    <s v="Mascota"/>
    <x v="78"/>
    <s v="Limpieza y Cuidado"/>
    <x v="0"/>
    <x v="5"/>
    <s v="13801"/>
    <n v="80"/>
  </r>
  <r>
    <n v="11"/>
    <s v="Lacteos"/>
    <x v="79"/>
    <s v="Mantequillas y margarinas"/>
    <x v="0"/>
    <x v="230"/>
    <s v="11811"/>
    <n v="81"/>
  </r>
  <r>
    <n v="11"/>
    <s v="Lacteos"/>
    <x v="79"/>
    <s v="Mantequillas y margarinas"/>
    <x v="1"/>
    <x v="231"/>
    <s v="11812"/>
    <n v="81"/>
  </r>
  <r>
    <n v="4"/>
    <s v="Carnes y Pescados"/>
    <x v="80"/>
    <s v="Mariscos y Pescados"/>
    <x v="0"/>
    <x v="232"/>
    <s v="4821"/>
    <n v="82"/>
  </r>
  <r>
    <n v="4"/>
    <s v="Carnes y Pescados"/>
    <x v="80"/>
    <s v="Mariscos y Pescados"/>
    <x v="1"/>
    <x v="233"/>
    <s v="4822"/>
    <n v="82"/>
  </r>
  <r>
    <n v="12"/>
    <s v="Limpieza"/>
    <x v="81"/>
    <s v="Mascotas"/>
    <x v="0"/>
    <x v="234"/>
    <s v="12831"/>
    <n v="83"/>
  </r>
  <r>
    <n v="12"/>
    <s v="Limpieza"/>
    <x v="81"/>
    <s v="Mascotas"/>
    <x v="1"/>
    <x v="235"/>
    <s v="12832"/>
    <n v="83"/>
  </r>
  <r>
    <n v="7"/>
    <s v="Farmacia"/>
    <x v="82"/>
    <s v="Material de Curación"/>
    <x v="0"/>
    <x v="236"/>
    <s v="7841"/>
    <n v="84"/>
  </r>
  <r>
    <n v="7"/>
    <s v="Farmacia"/>
    <x v="82"/>
    <s v="Material de Curación"/>
    <x v="1"/>
    <x v="237"/>
    <s v="7842"/>
    <n v="84"/>
  </r>
  <r>
    <n v="7"/>
    <s v="Farmacia"/>
    <x v="83"/>
    <s v="Medicamentos de Alta Especialidad"/>
    <x v="0"/>
    <x v="238"/>
    <s v="7861"/>
    <n v="86"/>
  </r>
  <r>
    <n v="1"/>
    <s v="Abarrotes"/>
    <x v="84"/>
    <s v="Mermeladas y Miel"/>
    <x v="0"/>
    <x v="239"/>
    <s v="1871"/>
    <n v="87"/>
  </r>
  <r>
    <n v="1"/>
    <s v="Abarrotes"/>
    <x v="84"/>
    <s v="Mermeladas y Miel"/>
    <x v="1"/>
    <x v="240"/>
    <s v="1872"/>
    <n v="87"/>
  </r>
  <r>
    <n v="1"/>
    <s v="Abarrotes"/>
    <x v="84"/>
    <s v="Mermeladas y Miel"/>
    <x v="2"/>
    <x v="241"/>
    <s v="1873"/>
    <n v="87"/>
  </r>
  <r>
    <n v="1"/>
    <s v="Abarrotes"/>
    <x v="84"/>
    <s v="Mermeladas y Miel"/>
    <x v="3"/>
    <x v="242"/>
    <s v="1874"/>
    <n v="87"/>
  </r>
  <r>
    <n v="7"/>
    <s v="Farmacia"/>
    <x v="85"/>
    <s v="Multivitamínicos, Suplementos &amp; Sistema Óseo"/>
    <x v="0"/>
    <x v="5"/>
    <s v="7881"/>
    <n v="88"/>
  </r>
  <r>
    <n v="7"/>
    <s v="Farmacia"/>
    <x v="86"/>
    <s v="Oftálmicos y Óticos"/>
    <x v="0"/>
    <x v="243"/>
    <s v="7891"/>
    <n v="89"/>
  </r>
  <r>
    <n v="7"/>
    <s v="Farmacia"/>
    <x v="87"/>
    <s v="OTC"/>
    <x v="0"/>
    <x v="5"/>
    <s v="7901"/>
    <n v="90"/>
  </r>
  <r>
    <n v="14"/>
    <s v="Panadería y tortillería"/>
    <x v="88"/>
    <s v="Pan Dulce"/>
    <x v="0"/>
    <x v="244"/>
    <s v="14911"/>
    <n v="91"/>
  </r>
  <r>
    <n v="14"/>
    <s v="Panadería y tortillería"/>
    <x v="88"/>
    <s v="Pan Dulce"/>
    <x v="1"/>
    <x v="245"/>
    <s v="14912"/>
    <n v="91"/>
  </r>
  <r>
    <n v="14"/>
    <s v="Panadería y tortillería"/>
    <x v="89"/>
    <s v="Pan Salado"/>
    <x v="0"/>
    <x v="246"/>
    <s v="14921"/>
    <n v="92"/>
  </r>
  <r>
    <n v="14"/>
    <s v="Panadería y tortillería"/>
    <x v="89"/>
    <s v="Pan Salado"/>
    <x v="1"/>
    <x v="247"/>
    <s v="14922"/>
    <n v="92"/>
  </r>
  <r>
    <n v="14"/>
    <s v="Panadería y tortillería"/>
    <x v="89"/>
    <s v="Pan Salado"/>
    <x v="2"/>
    <x v="248"/>
    <s v="14923"/>
    <n v="92"/>
  </r>
  <r>
    <n v="14"/>
    <s v="Panadería y tortillería"/>
    <x v="89"/>
    <s v="Pan Salado"/>
    <x v="3"/>
    <x v="249"/>
    <s v="14924"/>
    <n v="92"/>
  </r>
  <r>
    <n v="14"/>
    <s v="Panadería y tortillería"/>
    <x v="89"/>
    <s v="Pan Salado"/>
    <x v="4"/>
    <x v="250"/>
    <s v="14925"/>
    <n v="92"/>
  </r>
  <r>
    <n v="14"/>
    <s v="Panadería y tortillería"/>
    <x v="89"/>
    <s v="Pan Salado"/>
    <x v="5"/>
    <x v="251"/>
    <s v="14926"/>
    <n v="92"/>
  </r>
  <r>
    <n v="14"/>
    <s v="Panadería y tortillería"/>
    <x v="89"/>
    <s v="Pan Salado"/>
    <x v="6"/>
    <x v="252"/>
    <s v="14927"/>
    <n v="92"/>
  </r>
  <r>
    <n v="1"/>
    <s v="Abarrotes"/>
    <x v="90"/>
    <s v="Pan y Tortillas Empacados"/>
    <x v="0"/>
    <x v="253"/>
    <s v="1931"/>
    <n v="93"/>
  </r>
  <r>
    <n v="3"/>
    <s v="Bebes y Niños"/>
    <x v="91"/>
    <s v="Pañales y toallitas húmedas"/>
    <x v="0"/>
    <x v="254"/>
    <s v="3941"/>
    <n v="94"/>
  </r>
  <r>
    <n v="3"/>
    <s v="Bebes y Niños"/>
    <x v="91"/>
    <s v="Pañales y toallitas húmedas"/>
    <x v="1"/>
    <x v="255"/>
    <s v="3942"/>
    <n v="94"/>
  </r>
  <r>
    <n v="3"/>
    <s v="Bebes y Niños"/>
    <x v="91"/>
    <s v="Pañales y toallitas húmedas"/>
    <x v="2"/>
    <x v="256"/>
    <s v="3943"/>
    <n v="94"/>
  </r>
  <r>
    <n v="3"/>
    <s v="Bebes y Niños"/>
    <x v="91"/>
    <s v="Pañales y toallitas húmedas"/>
    <x v="3"/>
    <x v="257"/>
    <s v="3944"/>
    <n v="94"/>
  </r>
  <r>
    <n v="3"/>
    <s v="Bebes y Niños"/>
    <x v="91"/>
    <s v="Pañales y toallitas húmedas"/>
    <x v="4"/>
    <x v="258"/>
    <s v="3945"/>
    <n v="94"/>
  </r>
  <r>
    <n v="3"/>
    <s v="Bebes y Niños"/>
    <x v="91"/>
    <s v="Pañales y toallitas húmedas"/>
    <x v="5"/>
    <x v="259"/>
    <s v="3946"/>
    <n v="94"/>
  </r>
  <r>
    <n v="3"/>
    <s v="Bebes y Niños"/>
    <x v="91"/>
    <s v="Pañales y toallitas húmedas"/>
    <x v="6"/>
    <x v="260"/>
    <s v="3947"/>
    <n v="94"/>
  </r>
  <r>
    <n v="3"/>
    <s v="Bebes y Niños"/>
    <x v="91"/>
    <s v="Pañales y toallitas húmedas"/>
    <x v="7"/>
    <x v="261"/>
    <s v="3948"/>
    <n v="94"/>
  </r>
  <r>
    <n v="3"/>
    <s v="Bebes y Niños"/>
    <x v="91"/>
    <s v="Pañales y toallitas húmedas"/>
    <x v="8"/>
    <x v="262"/>
    <s v="3949"/>
    <n v="94"/>
  </r>
  <r>
    <n v="9"/>
    <s v="Higiene y Belleza"/>
    <x v="92"/>
    <s v="Pañuelos desechables"/>
    <x v="0"/>
    <x v="263"/>
    <s v="9951"/>
    <n v="95"/>
  </r>
  <r>
    <n v="12"/>
    <s v="Limpieza"/>
    <x v="93"/>
    <s v="Papel Higiénico"/>
    <x v="0"/>
    <x v="264"/>
    <s v="12961"/>
    <n v="96"/>
  </r>
  <r>
    <n v="1"/>
    <s v="Abarrotes"/>
    <x v="94"/>
    <s v="Pastas"/>
    <x v="0"/>
    <x v="265"/>
    <s v="1971"/>
    <n v="97"/>
  </r>
  <r>
    <n v="1"/>
    <s v="Abarrotes"/>
    <x v="94"/>
    <s v="Pastas"/>
    <x v="1"/>
    <x v="266"/>
    <s v="1972"/>
    <n v="97"/>
  </r>
  <r>
    <n v="1"/>
    <s v="Abarrotes"/>
    <x v="94"/>
    <s v="Pastas"/>
    <x v="2"/>
    <x v="267"/>
    <s v="1973"/>
    <n v="97"/>
  </r>
  <r>
    <n v="1"/>
    <s v="Abarrotes"/>
    <x v="94"/>
    <s v="Pastas"/>
    <x v="3"/>
    <x v="268"/>
    <s v="1974"/>
    <n v="97"/>
  </r>
  <r>
    <n v="1"/>
    <s v="Abarrotes"/>
    <x v="94"/>
    <s v="Pastas"/>
    <x v="4"/>
    <x v="269"/>
    <s v="1975"/>
    <n v="97"/>
  </r>
  <r>
    <n v="4"/>
    <s v="Carnes y Pescados"/>
    <x v="95"/>
    <s v="Pollo y Pavo"/>
    <x v="0"/>
    <x v="270"/>
    <s v="4981"/>
    <n v="98"/>
  </r>
  <r>
    <n v="4"/>
    <s v="Carnes y Pescados"/>
    <x v="95"/>
    <s v="Pollo y Pavo"/>
    <x v="1"/>
    <x v="271"/>
    <s v="4982"/>
    <n v="98"/>
  </r>
  <r>
    <n v="10"/>
    <s v="Jugos y Bebidas"/>
    <x v="96"/>
    <s v="Polvo y Líquidos Concentrados"/>
    <x v="0"/>
    <x v="272"/>
    <s v="10991"/>
    <n v="99"/>
  </r>
  <r>
    <n v="10"/>
    <s v="Jugos y Bebidas"/>
    <x v="96"/>
    <s v="Polvo y Líquidos Concentrados"/>
    <x v="1"/>
    <x v="273"/>
    <s v="10992"/>
    <n v="99"/>
  </r>
  <r>
    <n v="2"/>
    <s v="Alimentos Congelados"/>
    <x v="97"/>
    <s v="Postres Congelados"/>
    <x v="0"/>
    <x v="274"/>
    <s v="21001"/>
    <n v="100"/>
  </r>
  <r>
    <n v="2"/>
    <s v="Alimentos Congelados"/>
    <x v="97"/>
    <s v="Postres Congelados"/>
    <x v="1"/>
    <x v="275"/>
    <s v="21002"/>
    <n v="100"/>
  </r>
  <r>
    <n v="2"/>
    <s v="Alimentos Congelados"/>
    <x v="97"/>
    <s v="Postres Congelados"/>
    <x v="2"/>
    <x v="276"/>
    <s v="21003"/>
    <n v="100"/>
  </r>
  <r>
    <n v="2"/>
    <s v="Alimentos Congelados"/>
    <x v="97"/>
    <s v="Postres Congelados"/>
    <x v="3"/>
    <x v="277"/>
    <s v="21004"/>
    <n v="100"/>
  </r>
  <r>
    <n v="13"/>
    <s v="Mascota"/>
    <x v="98"/>
    <s v="Premios y Carnazas"/>
    <x v="0"/>
    <x v="5"/>
    <s v="131011"/>
    <n v="101"/>
  </r>
  <r>
    <n v="1"/>
    <s v="Abarrotes"/>
    <x v="99"/>
    <s v="Productos Vegetales y Veganos"/>
    <x v="0"/>
    <x v="278"/>
    <s v="11021"/>
    <n v="102"/>
  </r>
  <r>
    <n v="1"/>
    <s v="Abarrotes"/>
    <x v="99"/>
    <s v="Productos Vegetales y Veganos"/>
    <x v="1"/>
    <x v="279"/>
    <s v="11022"/>
    <n v="102"/>
  </r>
  <r>
    <n v="1"/>
    <s v="Abarrotes"/>
    <x v="99"/>
    <s v="Productos Vegetales y Veganos"/>
    <x v="2"/>
    <x v="280"/>
    <s v="11023"/>
    <n v="102"/>
  </r>
  <r>
    <n v="1"/>
    <s v="Abarrotes"/>
    <x v="99"/>
    <s v="Productos Vegetales y Veganos"/>
    <x v="3"/>
    <x v="281"/>
    <s v="11024"/>
    <n v="102"/>
  </r>
  <r>
    <n v="11"/>
    <s v="Lacteos"/>
    <x v="100"/>
    <s v="Queso"/>
    <x v="0"/>
    <x v="282"/>
    <s v="111031"/>
    <n v="103"/>
  </r>
  <r>
    <n v="11"/>
    <s v="Lacteos"/>
    <x v="100"/>
    <s v="Queso"/>
    <x v="1"/>
    <x v="283"/>
    <s v="111032"/>
    <n v="103"/>
  </r>
  <r>
    <n v="11"/>
    <s v="Lacteos"/>
    <x v="100"/>
    <s v="Queso"/>
    <x v="2"/>
    <x v="284"/>
    <s v="111033"/>
    <n v="103"/>
  </r>
  <r>
    <n v="11"/>
    <s v="Lacteos"/>
    <x v="100"/>
    <s v="Queso"/>
    <x v="3"/>
    <x v="285"/>
    <s v="111034"/>
    <n v="103"/>
  </r>
  <r>
    <n v="11"/>
    <s v="Lacteos"/>
    <x v="100"/>
    <s v="Queso"/>
    <x v="4"/>
    <x v="286"/>
    <s v="111035"/>
    <n v="103"/>
  </r>
  <r>
    <n v="11"/>
    <s v="Lacteos"/>
    <x v="100"/>
    <s v="Queso"/>
    <x v="5"/>
    <x v="287"/>
    <s v="111036"/>
    <n v="103"/>
  </r>
  <r>
    <n v="11"/>
    <s v="Lacteos"/>
    <x v="100"/>
    <s v="Queso"/>
    <x v="6"/>
    <x v="288"/>
    <s v="111037"/>
    <n v="103"/>
  </r>
  <r>
    <n v="12"/>
    <s v="Limpieza"/>
    <x v="101"/>
    <s v="Quitamanchas para ropa"/>
    <x v="0"/>
    <x v="289"/>
    <s v="121041"/>
    <n v="104"/>
  </r>
  <r>
    <n v="14"/>
    <s v="Panadería y tortillería"/>
    <x v="102"/>
    <s v="Repostería y Pastelería"/>
    <x v="0"/>
    <x v="290"/>
    <s v="141051"/>
    <n v="105"/>
  </r>
  <r>
    <n v="4"/>
    <s v="Carnes y Pescados"/>
    <x v="103"/>
    <s v="Res"/>
    <x v="0"/>
    <x v="291"/>
    <s v="41061"/>
    <n v="106"/>
  </r>
  <r>
    <n v="7"/>
    <s v="Farmacia"/>
    <x v="104"/>
    <s v="Respiratorios"/>
    <x v="0"/>
    <x v="292"/>
    <s v="71071"/>
    <n v="107"/>
  </r>
  <r>
    <n v="7"/>
    <s v="Farmacia"/>
    <x v="104"/>
    <s v="Respiratorios"/>
    <x v="1"/>
    <x v="293"/>
    <s v="71072"/>
    <n v="107"/>
  </r>
  <r>
    <n v="1"/>
    <s v="Abarrotes"/>
    <x v="105"/>
    <s v="Salsa, Aderezos y Vinagre"/>
    <x v="0"/>
    <x v="294"/>
    <s v="11081"/>
    <n v="108"/>
  </r>
  <r>
    <n v="1"/>
    <s v="Abarrotes"/>
    <x v="105"/>
    <s v="Salsa, Aderezos y Vinagre"/>
    <x v="1"/>
    <x v="295"/>
    <s v="11082"/>
    <n v="108"/>
  </r>
  <r>
    <n v="1"/>
    <s v="Abarrotes"/>
    <x v="105"/>
    <s v="Salsa, Aderezos y Vinagre"/>
    <x v="2"/>
    <x v="296"/>
    <s v="11083"/>
    <n v="108"/>
  </r>
  <r>
    <n v="1"/>
    <s v="Abarrotes"/>
    <x v="105"/>
    <s v="Salsa, Aderezos y Vinagre"/>
    <x v="3"/>
    <x v="297"/>
    <s v="11084"/>
    <n v="108"/>
  </r>
  <r>
    <n v="1"/>
    <s v="Abarrotes"/>
    <x v="105"/>
    <s v="Salsa, Aderezos y Vinagre"/>
    <x v="4"/>
    <x v="298"/>
    <s v="11085"/>
    <n v="108"/>
  </r>
  <r>
    <n v="1"/>
    <s v="Abarrotes"/>
    <x v="105"/>
    <s v="Salsa, Aderezos y Vinagre"/>
    <x v="5"/>
    <x v="299"/>
    <s v="11086"/>
    <n v="108"/>
  </r>
  <r>
    <n v="1"/>
    <s v="Abarrotes"/>
    <x v="105"/>
    <s v="Salsa, Aderezos y Vinagre"/>
    <x v="6"/>
    <x v="300"/>
    <s v="11087"/>
    <n v="108"/>
  </r>
  <r>
    <n v="7"/>
    <s v="Farmacia"/>
    <x v="106"/>
    <s v="Salud Bucal, Oftalmológico &amp; Oído"/>
    <x v="0"/>
    <x v="5"/>
    <s v="71091"/>
    <n v="109"/>
  </r>
  <r>
    <n v="7"/>
    <s v="Farmacia"/>
    <x v="107"/>
    <s v="Sistema digestivo y Antiparasitarios"/>
    <x v="0"/>
    <x v="5"/>
    <s v="71101"/>
    <n v="110"/>
  </r>
  <r>
    <n v="7"/>
    <s v="Farmacia"/>
    <x v="108"/>
    <s v="Sistema Nervioso"/>
    <x v="0"/>
    <x v="5"/>
    <s v="71111"/>
    <n v="111"/>
  </r>
  <r>
    <n v="7"/>
    <s v="Farmacia"/>
    <x v="109"/>
    <s v="Sistema Urinario"/>
    <x v="0"/>
    <x v="5"/>
    <s v="71121"/>
    <n v="112"/>
  </r>
  <r>
    <n v="1"/>
    <s v="Abarrotes"/>
    <x v="110"/>
    <s v="Snacks y Fruta Seca"/>
    <x v="0"/>
    <x v="301"/>
    <s v="11131"/>
    <n v="113"/>
  </r>
  <r>
    <n v="1"/>
    <s v="Abarrotes"/>
    <x v="110"/>
    <s v="Snacks y Fruta Seca"/>
    <x v="1"/>
    <x v="302"/>
    <s v="11132"/>
    <n v="113"/>
  </r>
  <r>
    <n v="1"/>
    <s v="Abarrotes"/>
    <x v="110"/>
    <s v="Snacks y Fruta Seca"/>
    <x v="2"/>
    <x v="303"/>
    <s v="11133"/>
    <n v="113"/>
  </r>
  <r>
    <n v="1"/>
    <s v="Abarrotes"/>
    <x v="110"/>
    <s v="Snacks y Fruta Seca"/>
    <x v="3"/>
    <x v="304"/>
    <s v="11134"/>
    <n v="113"/>
  </r>
  <r>
    <n v="1"/>
    <s v="Abarrotes"/>
    <x v="110"/>
    <s v="Snacks y Fruta Seca"/>
    <x v="4"/>
    <x v="305"/>
    <s v="11135"/>
    <n v="113"/>
  </r>
  <r>
    <n v="1"/>
    <s v="Abarrotes"/>
    <x v="110"/>
    <s v="Snacks y Fruta Seca"/>
    <x v="5"/>
    <x v="306"/>
    <s v="11136"/>
    <n v="113"/>
  </r>
  <r>
    <n v="1"/>
    <s v="Abarrotes"/>
    <x v="110"/>
    <s v="Snacks y Fruta Seca"/>
    <x v="6"/>
    <x v="307"/>
    <s v="11137"/>
    <n v="113"/>
  </r>
  <r>
    <n v="12"/>
    <s v="Limpieza"/>
    <x v="111"/>
    <s v="Suavizante"/>
    <x v="0"/>
    <x v="308"/>
    <s v="121141"/>
    <n v="114"/>
  </r>
  <r>
    <n v="14"/>
    <s v="Panadería y tortillería"/>
    <x v="112"/>
    <s v="Tortillería"/>
    <x v="0"/>
    <x v="309"/>
    <s v="141151"/>
    <n v="115"/>
  </r>
  <r>
    <n v="14"/>
    <s v="Panadería y tortillería"/>
    <x v="112"/>
    <s v="Tortillería"/>
    <x v="1"/>
    <x v="310"/>
    <s v="141152"/>
    <n v="115"/>
  </r>
  <r>
    <n v="14"/>
    <s v="Panadería y tortillería"/>
    <x v="112"/>
    <s v="Tortillería"/>
    <x v="2"/>
    <x v="311"/>
    <s v="141153"/>
    <n v="115"/>
  </r>
  <r>
    <n v="14"/>
    <s v="Panadería y tortillería"/>
    <x v="112"/>
    <s v="Tortillería"/>
    <x v="3"/>
    <x v="312"/>
    <s v="141154"/>
    <n v="115"/>
  </r>
  <r>
    <n v="8"/>
    <s v="Frutas y Verduras"/>
    <x v="113"/>
    <s v="Verduras"/>
    <x v="0"/>
    <x v="313"/>
    <s v="81161"/>
    <n v="116"/>
  </r>
  <r>
    <n v="8"/>
    <s v="Frutas y Verduras"/>
    <x v="113"/>
    <s v="Verduras"/>
    <x v="1"/>
    <x v="314"/>
    <s v="81162"/>
    <n v="116"/>
  </r>
  <r>
    <n v="8"/>
    <s v="Frutas y Verduras"/>
    <x v="113"/>
    <s v="Verduras"/>
    <x v="2"/>
    <x v="315"/>
    <s v="81163"/>
    <n v="116"/>
  </r>
  <r>
    <n v="8"/>
    <s v="Frutas y Verduras"/>
    <x v="113"/>
    <s v="Verduras"/>
    <x v="3"/>
    <x v="316"/>
    <s v="81164"/>
    <n v="116"/>
  </r>
  <r>
    <n v="8"/>
    <s v="Frutas y Verduras"/>
    <x v="113"/>
    <s v="Verduras"/>
    <x v="4"/>
    <x v="317"/>
    <s v="81165"/>
    <n v="116"/>
  </r>
  <r>
    <n v="8"/>
    <s v="Frutas y Verduras"/>
    <x v="113"/>
    <s v="Verduras"/>
    <x v="5"/>
    <x v="318"/>
    <s v="81166"/>
    <n v="116"/>
  </r>
  <r>
    <n v="5"/>
    <s v="Cervezas, Vinos y Licores"/>
    <x v="114"/>
    <s v="Vinos"/>
    <x v="0"/>
    <x v="319"/>
    <s v="51171"/>
    <n v="117"/>
  </r>
  <r>
    <n v="5"/>
    <s v="Cervezas, Vinos y Licores"/>
    <x v="114"/>
    <s v="Vinos"/>
    <x v="1"/>
    <x v="320"/>
    <s v="51172"/>
    <n v="117"/>
  </r>
  <r>
    <n v="5"/>
    <s v="Cervezas, Vinos y Licores"/>
    <x v="114"/>
    <s v="Vinos"/>
    <x v="2"/>
    <x v="321"/>
    <s v="51173"/>
    <n v="117"/>
  </r>
  <r>
    <n v="5"/>
    <s v="Cervezas, Vinos y Licores"/>
    <x v="114"/>
    <s v="Vinos"/>
    <x v="3"/>
    <x v="322"/>
    <s v="51174"/>
    <n v="117"/>
  </r>
  <r>
    <n v="5"/>
    <s v="Cervezas, Vinos y Licores"/>
    <x v="114"/>
    <s v="Vinos"/>
    <x v="4"/>
    <x v="323"/>
    <s v="51175"/>
    <n v="117"/>
  </r>
  <r>
    <n v="7"/>
    <s v="Farmacia"/>
    <x v="115"/>
    <s v="Vitaminas y Suplementos"/>
    <x v="0"/>
    <x v="324"/>
    <s v="71181"/>
    <n v="118"/>
  </r>
  <r>
    <n v="7"/>
    <s v="Farmacia"/>
    <x v="115"/>
    <s v="Vitaminas y Suplementos"/>
    <x v="1"/>
    <x v="325"/>
    <s v="71182"/>
    <n v="118"/>
  </r>
  <r>
    <n v="7"/>
    <s v="Farmacia"/>
    <x v="115"/>
    <s v="Vitaminas y Suplementos"/>
    <x v="2"/>
    <x v="326"/>
    <s v="71183"/>
    <n v="118"/>
  </r>
  <r>
    <n v="11"/>
    <s v="Lacteos"/>
    <x v="116"/>
    <s v="Yogurt"/>
    <x v="0"/>
    <x v="327"/>
    <s v="111191"/>
    <n v="119"/>
  </r>
  <r>
    <n v="11"/>
    <s v="Lacteos"/>
    <x v="116"/>
    <s v="Yogurt"/>
    <x v="1"/>
    <x v="328"/>
    <s v="111192"/>
    <n v="119"/>
  </r>
  <r>
    <n v="11"/>
    <s v="Lacteos"/>
    <x v="116"/>
    <s v="Yogurt"/>
    <x v="2"/>
    <x v="329"/>
    <s v="111193"/>
    <n v="1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849CC6-C883-43C2-9582-75A05BA10D2C}" name="TablaDinámica1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J1:L365" firstHeaderRow="1" firstDataRow="1" firstDataCol="3"/>
  <pivotFields count="8"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0"/>
        <item x="1"/>
        <item x="2"/>
        <item x="3"/>
        <item x="4"/>
        <item x="5"/>
        <item x="6"/>
        <item x="7"/>
        <item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0">
        <item x="95"/>
        <item x="80"/>
        <item x="67"/>
        <item x="111"/>
        <item x="177"/>
        <item x="121"/>
        <item x="186"/>
        <item x="10"/>
        <item x="7"/>
        <item x="6"/>
        <item x="8"/>
        <item x="146"/>
        <item x="101"/>
        <item x="295"/>
        <item x="30"/>
        <item x="14"/>
        <item x="13"/>
        <item x="293"/>
        <item x="234"/>
        <item x="235"/>
        <item x="279"/>
        <item x="238"/>
        <item x="152"/>
        <item x="108"/>
        <item x="118"/>
        <item x="21"/>
        <item x="22"/>
        <item x="23"/>
        <item x="60"/>
        <item x="141"/>
        <item x="58"/>
        <item x="35"/>
        <item x="248"/>
        <item x="157"/>
        <item x="276"/>
        <item x="59"/>
        <item x="203"/>
        <item x="278"/>
        <item x="281"/>
        <item x="280"/>
        <item x="272"/>
        <item x="77"/>
        <item x="69"/>
        <item x="245"/>
        <item x="197"/>
        <item x="185"/>
        <item x="250"/>
        <item x="249"/>
        <item x="123"/>
        <item x="124"/>
        <item x="138"/>
        <item x="53"/>
        <item x="213"/>
        <item x="46"/>
        <item x="41"/>
        <item x="43"/>
        <item x="242"/>
        <item x="326"/>
        <item x="232"/>
        <item x="44"/>
        <item x="134"/>
        <item x="55"/>
        <item x="291"/>
        <item x="147"/>
        <item x="297"/>
        <item x="313"/>
        <item x="91"/>
        <item x="99"/>
        <item x="225"/>
        <item x="57"/>
        <item x="72"/>
        <item x="321"/>
        <item x="307"/>
        <item x="135"/>
        <item x="317"/>
        <item x="133"/>
        <item x="175"/>
        <item x="51"/>
        <item x="223"/>
        <item x="120"/>
        <item x="219"/>
        <item x="75"/>
        <item x="70"/>
        <item x="71"/>
        <item x="73"/>
        <item x="61"/>
        <item x="62"/>
        <item x="18"/>
        <item x="212"/>
        <item x="37"/>
        <item x="151"/>
        <item x="78"/>
        <item x="180"/>
        <item x="240"/>
        <item x="110"/>
        <item x="45"/>
        <item x="193"/>
        <item x="105"/>
        <item x="178"/>
        <item x="16"/>
        <item x="253"/>
        <item x="12"/>
        <item x="116"/>
        <item x="11"/>
        <item x="224"/>
        <item x="119"/>
        <item x="174"/>
        <item x="56"/>
        <item x="88"/>
        <item x="81"/>
        <item x="115"/>
        <item x="32"/>
        <item x="220"/>
        <item x="107"/>
        <item x="86"/>
        <item x="182"/>
        <item x="181"/>
        <item x="228"/>
        <item x="129"/>
        <item x="130"/>
        <item x="305"/>
        <item x="20"/>
        <item x="154"/>
        <item x="262"/>
        <item x="244"/>
        <item x="252"/>
        <item x="264"/>
        <item x="208"/>
        <item x="139"/>
        <item x="92"/>
        <item x="314"/>
        <item x="27"/>
        <item x="0"/>
        <item x="189"/>
        <item x="148"/>
        <item x="207"/>
        <item x="269"/>
        <item x="1"/>
        <item x="233"/>
        <item x="47"/>
        <item x="68"/>
        <item x="184"/>
        <item x="156"/>
        <item x="25"/>
        <item x="143"/>
        <item x="161"/>
        <item x="160"/>
        <item x="144"/>
        <item x="304"/>
        <item x="268"/>
        <item x="166"/>
        <item x="163"/>
        <item x="165"/>
        <item x="164"/>
        <item x="236"/>
        <item x="102"/>
        <item x="36"/>
        <item x="33"/>
        <item x="217"/>
        <item x="29"/>
        <item x="136"/>
        <item x="243"/>
        <item x="2"/>
        <item x="237"/>
        <item x="171"/>
        <item x="274"/>
        <item x="140"/>
        <item x="94"/>
        <item x="117"/>
        <item x="93"/>
        <item x="318"/>
        <item x="277"/>
        <item x="113"/>
        <item x="222"/>
        <item x="31"/>
        <item x="198"/>
        <item x="183"/>
        <item x="190"/>
        <item x="192"/>
        <item x="187"/>
        <item x="48"/>
        <item x="199"/>
        <item x="201"/>
        <item x="202"/>
        <item x="83"/>
        <item x="204"/>
        <item x="205"/>
        <item x="210"/>
        <item x="211"/>
        <item x="209"/>
        <item x="206"/>
        <item x="316"/>
        <item x="24"/>
        <item x="169"/>
        <item x="229"/>
        <item x="226"/>
        <item x="221"/>
        <item x="273"/>
        <item x="39"/>
        <item x="303"/>
        <item x="191"/>
        <item x="9"/>
        <item x="231"/>
        <item x="155"/>
        <item x="82"/>
        <item x="230"/>
        <item x="145"/>
        <item x="195"/>
        <item x="282"/>
        <item x="294"/>
        <item x="239"/>
        <item x="241"/>
        <item x="52"/>
        <item x="19"/>
        <item x="158"/>
        <item x="200"/>
        <item x="302"/>
        <item x="49"/>
        <item x="128"/>
        <item x="306"/>
        <item x="251"/>
        <item x="246"/>
        <item x="312"/>
        <item x="247"/>
        <item x="260"/>
        <item x="258"/>
        <item x="256"/>
        <item x="257"/>
        <item x="261"/>
        <item x="259"/>
        <item x="255"/>
        <item x="263"/>
        <item x="63"/>
        <item x="301"/>
        <item x="127"/>
        <item x="172"/>
        <item x="90"/>
        <item x="266"/>
        <item x="15"/>
        <item x="290"/>
        <item x="196"/>
        <item x="271"/>
        <item x="275"/>
        <item x="114"/>
        <item x="66"/>
        <item x="76"/>
        <item x="74"/>
        <item x="270"/>
        <item x="64"/>
        <item x="84"/>
        <item x="3"/>
        <item x="153"/>
        <item x="17"/>
        <item x="286"/>
        <item x="285"/>
        <item x="287"/>
        <item x="284"/>
        <item x="283"/>
        <item x="288"/>
        <item x="194"/>
        <item x="289"/>
        <item x="89"/>
        <item x="170"/>
        <item x="292"/>
        <item x="132"/>
        <item x="214"/>
        <item x="87"/>
        <item x="168"/>
        <item x="167"/>
        <item x="173"/>
        <item x="150"/>
        <item x="50"/>
        <item x="299"/>
        <item x="265"/>
        <item x="296"/>
        <item x="300"/>
        <item x="149"/>
        <item x="26"/>
        <item x="126"/>
        <item x="97"/>
        <item x="103"/>
        <item x="104"/>
        <item x="176"/>
        <item x="322"/>
        <item x="137"/>
        <item x="85"/>
        <item x="267"/>
        <item x="308"/>
        <item x="79"/>
        <item x="38"/>
        <item x="325"/>
        <item x="34"/>
        <item x="65"/>
        <item x="179"/>
        <item x="96"/>
        <item x="40"/>
        <item x="42"/>
        <item x="216"/>
        <item x="98"/>
        <item x="106"/>
        <item x="125"/>
        <item x="112"/>
        <item x="227"/>
        <item x="254"/>
        <item x="54"/>
        <item x="315"/>
        <item x="309"/>
        <item x="310"/>
        <item x="311"/>
        <item x="4"/>
        <item x="100"/>
        <item x="188"/>
        <item x="131"/>
        <item x="109"/>
        <item x="159"/>
        <item x="122"/>
        <item x="142"/>
        <item x="28"/>
        <item x="162"/>
        <item x="298"/>
        <item x="320"/>
        <item x="323"/>
        <item x="319"/>
        <item x="324"/>
        <item x="218"/>
        <item x="215"/>
        <item x="327"/>
        <item x="329"/>
        <item x="328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"/>
    <field x="4"/>
    <field x="5"/>
  </rowFields>
  <rowItems count="364">
    <i>
      <x/>
      <x/>
      <x v="132"/>
    </i>
    <i r="1">
      <x v="1"/>
      <x v="137"/>
    </i>
    <i r="1">
      <x v="2"/>
      <x v="162"/>
    </i>
    <i r="1">
      <x v="3"/>
      <x v="250"/>
    </i>
    <i r="1">
      <x v="4"/>
      <x v="309"/>
    </i>
    <i>
      <x v="1"/>
      <x/>
      <x v="329"/>
    </i>
    <i>
      <x v="2"/>
      <x/>
      <x v="9"/>
    </i>
    <i r="1">
      <x v="1"/>
      <x v="8"/>
    </i>
    <i r="1">
      <x v="2"/>
      <x v="10"/>
    </i>
    <i r="1">
      <x v="3"/>
      <x v="201"/>
    </i>
    <i r="1">
      <x v="4"/>
      <x v="7"/>
    </i>
    <i>
      <x v="3"/>
      <x/>
      <x v="103"/>
    </i>
    <i r="1">
      <x v="1"/>
      <x v="101"/>
    </i>
    <i>
      <x v="4"/>
      <x/>
      <x v="16"/>
    </i>
    <i r="1">
      <x v="1"/>
      <x v="15"/>
    </i>
    <i>
      <x v="5"/>
      <x/>
      <x v="329"/>
    </i>
    <i>
      <x v="6"/>
      <x/>
      <x v="329"/>
    </i>
    <i>
      <x v="7"/>
      <x/>
      <x v="329"/>
    </i>
    <i>
      <x v="8"/>
      <x/>
      <x v="329"/>
    </i>
    <i>
      <x v="9"/>
      <x/>
      <x v="329"/>
    </i>
    <i>
      <x v="10"/>
      <x/>
      <x v="238"/>
    </i>
    <i r="1">
      <x v="1"/>
      <x v="99"/>
    </i>
    <i r="1">
      <x v="2"/>
      <x v="252"/>
    </i>
    <i r="1">
      <x v="3"/>
      <x v="87"/>
    </i>
    <i>
      <x v="11"/>
      <x/>
      <x v="213"/>
    </i>
    <i r="1">
      <x v="1"/>
      <x v="121"/>
    </i>
    <i>
      <x v="12"/>
      <x/>
      <x v="329"/>
    </i>
    <i>
      <x v="13"/>
      <x/>
      <x v="329"/>
    </i>
    <i>
      <x v="14"/>
      <x/>
      <x v="329"/>
    </i>
    <i>
      <x v="15"/>
      <x/>
      <x v="329"/>
    </i>
    <i>
      <x v="16"/>
      <x/>
      <x v="329"/>
    </i>
    <i>
      <x v="17"/>
      <x/>
      <x v="25"/>
    </i>
    <i r="1">
      <x v="1"/>
      <x v="26"/>
    </i>
    <i>
      <x v="18"/>
      <x/>
      <x v="27"/>
    </i>
    <i r="1">
      <x v="1"/>
      <x v="192"/>
    </i>
    <i r="1">
      <x v="2"/>
      <x v="143"/>
    </i>
    <i r="1">
      <x v="3"/>
      <x v="277"/>
    </i>
    <i>
      <x v="19"/>
      <x/>
      <x v="131"/>
    </i>
    <i r="1">
      <x v="1"/>
      <x v="317"/>
    </i>
    <i r="1">
      <x v="2"/>
      <x v="159"/>
    </i>
    <i r="1">
      <x v="3"/>
      <x v="14"/>
    </i>
    <i r="1">
      <x v="4"/>
      <x v="174"/>
    </i>
    <i r="1">
      <x v="5"/>
      <x v="111"/>
    </i>
    <i>
      <x v="20"/>
      <x/>
      <x v="329"/>
    </i>
    <i>
      <x v="21"/>
      <x/>
      <x v="157"/>
    </i>
    <i r="1">
      <x v="1"/>
      <x v="291"/>
    </i>
    <i r="1">
      <x v="2"/>
      <x v="31"/>
    </i>
    <i r="1">
      <x v="3"/>
      <x v="156"/>
    </i>
    <i>
      <x v="22"/>
      <x/>
      <x v="89"/>
    </i>
    <i r="1">
      <x v="1"/>
      <x v="289"/>
    </i>
    <i r="1">
      <x v="2"/>
      <x v="198"/>
    </i>
    <i>
      <x v="23"/>
      <x/>
      <x v="329"/>
    </i>
    <i>
      <x v="24"/>
      <x/>
      <x v="295"/>
    </i>
    <i r="1">
      <x v="1"/>
      <x v="54"/>
    </i>
    <i>
      <x v="25"/>
      <x/>
      <x v="296"/>
    </i>
    <i r="1">
      <x v="1"/>
      <x v="55"/>
    </i>
    <i r="1">
      <x v="2"/>
      <x v="59"/>
    </i>
    <i r="1">
      <x v="3"/>
      <x v="95"/>
    </i>
    <i r="1">
      <x v="4"/>
      <x v="53"/>
    </i>
    <i r="1">
      <x v="5"/>
      <x v="139"/>
    </i>
    <i>
      <x v="26"/>
      <x/>
      <x v="329"/>
    </i>
    <i>
      <x v="27"/>
      <x/>
      <x v="180"/>
    </i>
    <i r="1">
      <x v="1"/>
      <x v="217"/>
    </i>
    <i r="1">
      <x v="2"/>
      <x v="271"/>
    </i>
    <i r="1">
      <x v="3"/>
      <x v="77"/>
    </i>
    <i r="1">
      <x v="4"/>
      <x v="212"/>
    </i>
    <i r="1">
      <x v="5"/>
      <x v="51"/>
    </i>
    <i r="1">
      <x v="6"/>
      <x v="304"/>
    </i>
    <i>
      <x v="28"/>
      <x/>
      <x v="61"/>
    </i>
    <i>
      <x v="29"/>
      <x/>
      <x v="107"/>
    </i>
    <i r="1">
      <x v="1"/>
      <x v="69"/>
    </i>
    <i r="1">
      <x v="2"/>
      <x v="30"/>
    </i>
    <i r="1">
      <x v="3"/>
      <x v="35"/>
    </i>
    <i>
      <x v="30"/>
      <x/>
      <x v="28"/>
    </i>
    <i>
      <x v="31"/>
      <x/>
      <x v="329"/>
    </i>
    <i>
      <x v="32"/>
      <x/>
      <x v="85"/>
    </i>
    <i>
      <x v="33"/>
      <x/>
      <x v="86"/>
    </i>
    <i r="1">
      <x v="1"/>
      <x v="232"/>
    </i>
    <i r="1">
      <x v="2"/>
      <x v="248"/>
    </i>
    <i r="1">
      <x v="3"/>
      <x v="292"/>
    </i>
    <i r="1">
      <x v="4"/>
      <x v="244"/>
    </i>
    <i>
      <x v="34"/>
      <x/>
      <x v="2"/>
    </i>
    <i r="1">
      <x v="1"/>
      <x v="140"/>
    </i>
    <i r="1">
      <x v="2"/>
      <x v="42"/>
    </i>
    <i r="1">
      <x v="3"/>
      <x v="82"/>
    </i>
    <i r="1">
      <x v="4"/>
      <x v="83"/>
    </i>
    <i r="1">
      <x v="5"/>
      <x v="70"/>
    </i>
    <i r="1">
      <x v="6"/>
      <x v="84"/>
    </i>
    <i r="1">
      <x v="7"/>
      <x v="246"/>
    </i>
    <i r="1">
      <x v="8"/>
      <x v="81"/>
    </i>
    <i>
      <x v="35"/>
      <x/>
      <x v="245"/>
    </i>
    <i r="1">
      <x v="1"/>
      <x v="41"/>
    </i>
    <i>
      <x v="36"/>
      <x/>
      <x v="91"/>
    </i>
    <i>
      <x v="37"/>
      <x/>
      <x v="288"/>
    </i>
    <i r="1">
      <x v="1"/>
      <x v="1"/>
    </i>
    <i r="1">
      <x v="2"/>
      <x v="109"/>
    </i>
    <i r="1">
      <x v="3"/>
      <x v="204"/>
    </i>
    <i r="1">
      <x v="4"/>
      <x v="184"/>
    </i>
    <i r="1">
      <x v="5"/>
      <x v="249"/>
    </i>
    <i r="1">
      <x v="6"/>
      <x v="285"/>
    </i>
    <i r="1">
      <x v="7"/>
      <x v="114"/>
    </i>
    <i r="1">
      <x v="8"/>
      <x v="266"/>
    </i>
    <i r="1">
      <x v="9"/>
      <x v="108"/>
    </i>
    <i>
      <x v="38"/>
      <x/>
      <x v="261"/>
    </i>
    <i>
      <x v="39"/>
      <x v="5"/>
      <x v="236"/>
    </i>
    <i r="1">
      <x v="6"/>
      <x v="66"/>
    </i>
    <i r="1">
      <x v="7"/>
      <x v="129"/>
    </i>
    <i r="1">
      <x v="8"/>
      <x v="169"/>
    </i>
    <i r="1">
      <x v="9"/>
      <x v="167"/>
    </i>
    <i>
      <x v="40"/>
      <x/>
      <x/>
    </i>
    <i r="1">
      <x v="1"/>
      <x v="294"/>
    </i>
    <i>
      <x v="41"/>
      <x/>
      <x v="279"/>
    </i>
    <i r="1">
      <x v="1"/>
      <x v="298"/>
    </i>
    <i r="1">
      <x v="2"/>
      <x v="67"/>
    </i>
    <i r="1">
      <x v="3"/>
      <x v="310"/>
    </i>
    <i r="1">
      <x v="4"/>
      <x v="12"/>
    </i>
    <i r="1">
      <x v="5"/>
      <x v="155"/>
    </i>
    <i r="1">
      <x v="6"/>
      <x v="280"/>
    </i>
    <i r="1">
      <x v="7"/>
      <x v="281"/>
    </i>
    <i r="1">
      <x v="8"/>
      <x v="97"/>
    </i>
    <i r="1">
      <x v="9"/>
      <x v="299"/>
    </i>
    <i>
      <x v="42"/>
      <x/>
      <x v="113"/>
    </i>
    <i r="1">
      <x v="1"/>
      <x v="23"/>
    </i>
    <i r="1">
      <x v="2"/>
      <x v="313"/>
    </i>
    <i r="1">
      <x v="3"/>
      <x v="94"/>
    </i>
    <i r="1">
      <x v="4"/>
      <x v="3"/>
    </i>
    <i>
      <x v="43"/>
      <x/>
      <x v="301"/>
    </i>
    <i r="1">
      <x v="1"/>
      <x v="172"/>
    </i>
    <i>
      <x v="44"/>
      <x/>
      <x v="243"/>
    </i>
    <i>
      <x v="45"/>
      <x/>
      <x v="110"/>
    </i>
    <i r="1">
      <x v="1"/>
      <x v="102"/>
    </i>
    <i r="1">
      <x v="2"/>
      <x v="168"/>
    </i>
    <i r="1">
      <x v="3"/>
      <x v="24"/>
    </i>
    <i>
      <x v="46"/>
      <x/>
      <x v="105"/>
    </i>
    <i r="1">
      <x v="1"/>
      <x v="5"/>
    </i>
    <i r="2">
      <x v="79"/>
    </i>
    <i>
      <x v="47"/>
      <x/>
      <x v="329"/>
    </i>
    <i>
      <x v="48"/>
      <x/>
      <x v="315"/>
    </i>
    <i r="1">
      <x v="1"/>
      <x v="48"/>
    </i>
    <i r="1">
      <x v="2"/>
      <x v="49"/>
    </i>
    <i r="1">
      <x v="3"/>
      <x v="300"/>
    </i>
    <i r="1">
      <x v="4"/>
      <x v="278"/>
    </i>
    <i r="1">
      <x v="5"/>
      <x v="234"/>
    </i>
    <i r="1">
      <x v="6"/>
      <x v="218"/>
    </i>
    <i>
      <x v="49"/>
      <x/>
      <x v="118"/>
    </i>
    <i r="1">
      <x v="1"/>
      <x v="119"/>
    </i>
    <i>
      <x v="50"/>
      <x/>
      <x v="312"/>
    </i>
    <i>
      <x v="51"/>
      <x/>
      <x v="329"/>
    </i>
    <i>
      <x v="52"/>
      <x/>
      <x v="264"/>
    </i>
    <i>
      <x v="53"/>
      <x/>
      <x v="329"/>
    </i>
    <i>
      <x v="54"/>
      <x/>
      <x v="75"/>
    </i>
    <i r="1">
      <x v="1"/>
      <x v="60"/>
    </i>
    <i r="1">
      <x v="2"/>
      <x v="73"/>
    </i>
    <i r="1">
      <x v="3"/>
      <x v="160"/>
    </i>
    <i r="1">
      <x v="4"/>
      <x v="284"/>
    </i>
    <i r="1">
      <x v="5"/>
      <x v="50"/>
    </i>
    <i>
      <x v="55"/>
      <x/>
      <x v="329"/>
    </i>
    <i>
      <x v="56"/>
      <x/>
      <x v="128"/>
    </i>
    <i r="1">
      <x v="1"/>
      <x v="166"/>
    </i>
    <i>
      <x v="57"/>
      <x/>
      <x v="29"/>
    </i>
    <i r="1">
      <x v="1"/>
      <x v="316"/>
    </i>
    <i r="1">
      <x v="2"/>
      <x v="144"/>
    </i>
    <i r="1">
      <x v="3"/>
      <x v="147"/>
    </i>
    <i r="1">
      <x v="4"/>
      <x v="206"/>
    </i>
    <i r="1">
      <x v="5"/>
      <x v="11"/>
    </i>
    <i r="1">
      <x v="6"/>
      <x v="63"/>
    </i>
    <i>
      <x v="58"/>
      <x/>
      <x v="134"/>
    </i>
    <i r="1">
      <x v="1"/>
      <x v="276"/>
    </i>
    <i r="1">
      <x v="2"/>
      <x v="270"/>
    </i>
    <i r="1">
      <x v="3"/>
      <x v="90"/>
    </i>
    <i>
      <x v="59"/>
      <x/>
      <x v="134"/>
    </i>
    <i r="1">
      <x v="1"/>
      <x v="276"/>
    </i>
    <i r="1">
      <x v="2"/>
      <x v="270"/>
    </i>
    <i r="1">
      <x v="3"/>
      <x v="90"/>
    </i>
    <i>
      <x v="60"/>
      <x/>
      <x v="22"/>
    </i>
    <i r="1">
      <x v="1"/>
      <x v="251"/>
    </i>
    <i r="1">
      <x v="2"/>
      <x v="122"/>
    </i>
    <i>
      <x v="61"/>
      <x/>
      <x v="203"/>
    </i>
    <i r="1">
      <x v="1"/>
      <x v="142"/>
    </i>
    <i r="1">
      <x v="2"/>
      <x v="33"/>
    </i>
    <i r="1">
      <x v="3"/>
      <x v="214"/>
    </i>
    <i r="1">
      <x v="4"/>
      <x v="314"/>
    </i>
    <i r="1">
      <x v="5"/>
      <x v="146"/>
    </i>
    <i>
      <x v="62"/>
      <x/>
      <x v="145"/>
    </i>
    <i r="1">
      <x v="1"/>
      <x v="318"/>
    </i>
    <i>
      <x v="63"/>
      <x/>
      <x v="151"/>
    </i>
    <i r="1">
      <x v="1"/>
      <x v="153"/>
    </i>
    <i r="1">
      <x v="2"/>
      <x v="152"/>
    </i>
    <i r="1">
      <x v="3"/>
      <x v="150"/>
    </i>
    <i>
      <x v="64"/>
      <x/>
      <x v="268"/>
    </i>
    <i r="1">
      <x v="1"/>
      <x v="267"/>
    </i>
    <i r="1">
      <x v="2"/>
      <x v="193"/>
    </i>
    <i>
      <x v="65"/>
      <x/>
      <x v="262"/>
    </i>
    <i r="1">
      <x v="1"/>
      <x v="164"/>
    </i>
    <i r="1">
      <x v="2"/>
      <x v="235"/>
    </i>
    <i r="1">
      <x v="3"/>
      <x v="269"/>
    </i>
    <i r="1">
      <x v="4"/>
      <x v="106"/>
    </i>
    <i r="1">
      <x v="5"/>
      <x v="76"/>
    </i>
    <i>
      <x v="66"/>
      <x/>
      <x v="282"/>
    </i>
    <i r="1">
      <x v="1"/>
      <x v="4"/>
    </i>
    <i r="1">
      <x v="2"/>
      <x v="98"/>
    </i>
    <i r="1">
      <x v="3"/>
      <x v="293"/>
    </i>
    <i>
      <x v="67"/>
      <x/>
      <x v="92"/>
    </i>
    <i r="1">
      <x v="1"/>
      <x v="116"/>
    </i>
    <i r="1">
      <x v="2"/>
      <x v="115"/>
    </i>
    <i r="1">
      <x v="3"/>
      <x v="176"/>
    </i>
    <i r="1">
      <x v="4"/>
      <x v="141"/>
    </i>
    <i r="1">
      <x v="5"/>
      <x v="45"/>
    </i>
    <i r="1">
      <x v="6"/>
      <x v="6"/>
    </i>
    <i r="1">
      <x v="7"/>
      <x v="179"/>
    </i>
    <i r="1">
      <x v="8"/>
      <x v="311"/>
    </i>
    <i>
      <x v="68"/>
      <x/>
      <x v="133"/>
    </i>
    <i r="1">
      <x v="1"/>
      <x v="177"/>
    </i>
    <i r="1">
      <x v="2"/>
      <x v="200"/>
    </i>
    <i r="1">
      <x v="3"/>
      <x v="178"/>
    </i>
    <i r="1">
      <x v="4"/>
      <x v="96"/>
    </i>
    <i r="1">
      <x v="5"/>
      <x v="259"/>
    </i>
    <i>
      <x v="69"/>
      <x/>
      <x v="288"/>
    </i>
    <i r="1">
      <x v="1"/>
      <x v="207"/>
    </i>
    <i r="1">
      <x v="2"/>
      <x v="240"/>
    </i>
    <i r="1">
      <x v="3"/>
      <x v="44"/>
    </i>
    <i>
      <x v="70"/>
      <x/>
      <x v="175"/>
    </i>
    <i>
      <x v="71"/>
      <x/>
      <x v="181"/>
    </i>
    <i r="1">
      <x v="1"/>
      <x v="215"/>
    </i>
    <i r="1">
      <x v="2"/>
      <x v="182"/>
    </i>
    <i>
      <x v="72"/>
      <x/>
      <x v="183"/>
    </i>
    <i>
      <x v="73"/>
      <x/>
      <x v="36"/>
    </i>
    <i>
      <x v="74"/>
      <x/>
      <x v="185"/>
    </i>
    <i r="1">
      <x v="1"/>
      <x v="186"/>
    </i>
    <i>
      <x v="75"/>
      <x/>
      <x v="127"/>
    </i>
    <i r="2">
      <x v="190"/>
    </i>
    <i r="1">
      <x v="1"/>
      <x v="135"/>
    </i>
    <i r="2">
      <x v="189"/>
    </i>
    <i r="1">
      <x v="2"/>
      <x v="127"/>
    </i>
    <i r="2">
      <x v="190"/>
    </i>
    <i r="1">
      <x v="3"/>
      <x v="187"/>
    </i>
    <i r="1">
      <x v="4"/>
      <x v="188"/>
    </i>
    <i r="1">
      <x v="5"/>
      <x v="88"/>
    </i>
    <i r="1">
      <x v="6"/>
      <x v="135"/>
    </i>
    <i>
      <x v="76"/>
      <x/>
      <x v="52"/>
    </i>
    <i r="1">
      <x v="1"/>
      <x v="265"/>
    </i>
    <i r="1">
      <x v="2"/>
      <x v="325"/>
    </i>
    <i r="1">
      <x v="3"/>
      <x v="297"/>
    </i>
    <i r="1">
      <x v="4"/>
      <x v="158"/>
    </i>
    <i r="1">
      <x v="5"/>
      <x v="324"/>
    </i>
    <i r="1">
      <x v="6"/>
      <x v="80"/>
    </i>
    <i>
      <x v="77"/>
      <x/>
      <x v="112"/>
    </i>
    <i r="1">
      <x v="1"/>
      <x v="196"/>
    </i>
    <i r="1">
      <x v="2"/>
      <x v="173"/>
    </i>
    <i r="1">
      <x v="3"/>
      <x v="78"/>
    </i>
    <i r="1">
      <x v="4"/>
      <x v="104"/>
    </i>
    <i r="1">
      <x v="5"/>
      <x v="68"/>
    </i>
    <i r="1">
      <x v="6"/>
      <x v="195"/>
    </i>
    <i r="1">
      <x v="7"/>
      <x v="302"/>
    </i>
    <i r="1">
      <x v="8"/>
      <x v="117"/>
    </i>
    <i r="1">
      <x v="9"/>
      <x v="194"/>
    </i>
    <i>
      <x v="78"/>
      <x/>
      <x v="329"/>
    </i>
    <i>
      <x v="79"/>
      <x/>
      <x v="205"/>
    </i>
    <i r="1">
      <x v="1"/>
      <x v="202"/>
    </i>
    <i>
      <x v="80"/>
      <x/>
      <x v="58"/>
    </i>
    <i r="1">
      <x v="1"/>
      <x v="138"/>
    </i>
    <i>
      <x v="81"/>
      <x/>
      <x v="18"/>
    </i>
    <i r="1">
      <x v="1"/>
      <x v="19"/>
    </i>
    <i>
      <x v="82"/>
      <x/>
      <x v="154"/>
    </i>
    <i r="1">
      <x v="1"/>
      <x v="163"/>
    </i>
    <i>
      <x v="83"/>
      <x/>
      <x v="21"/>
    </i>
    <i>
      <x v="84"/>
      <x/>
      <x v="210"/>
    </i>
    <i r="1">
      <x v="1"/>
      <x v="93"/>
    </i>
    <i r="1">
      <x v="2"/>
      <x v="211"/>
    </i>
    <i r="1">
      <x v="3"/>
      <x v="56"/>
    </i>
    <i>
      <x v="85"/>
      <x/>
      <x v="329"/>
    </i>
    <i>
      <x v="86"/>
      <x/>
      <x v="161"/>
    </i>
    <i>
      <x v="87"/>
      <x/>
      <x v="329"/>
    </i>
    <i>
      <x v="88"/>
      <x/>
      <x v="124"/>
    </i>
    <i r="1">
      <x v="1"/>
      <x v="43"/>
    </i>
    <i>
      <x v="89"/>
      <x/>
      <x v="221"/>
    </i>
    <i r="1">
      <x v="1"/>
      <x v="223"/>
    </i>
    <i r="1">
      <x v="2"/>
      <x v="32"/>
    </i>
    <i r="1">
      <x v="3"/>
      <x v="47"/>
    </i>
    <i r="1">
      <x v="4"/>
      <x v="46"/>
    </i>
    <i r="1">
      <x v="5"/>
      <x v="220"/>
    </i>
    <i r="1">
      <x v="6"/>
      <x v="125"/>
    </i>
    <i>
      <x v="90"/>
      <x/>
      <x v="100"/>
    </i>
    <i>
      <x v="91"/>
      <x/>
      <x v="303"/>
    </i>
    <i r="1">
      <x v="1"/>
      <x v="230"/>
    </i>
    <i r="1">
      <x v="2"/>
      <x v="226"/>
    </i>
    <i r="1">
      <x v="3"/>
      <x v="227"/>
    </i>
    <i r="1">
      <x v="4"/>
      <x v="225"/>
    </i>
    <i r="1">
      <x v="5"/>
      <x v="229"/>
    </i>
    <i r="1">
      <x v="6"/>
      <x v="224"/>
    </i>
    <i r="1">
      <x v="7"/>
      <x v="228"/>
    </i>
    <i r="1">
      <x v="8"/>
      <x v="123"/>
    </i>
    <i>
      <x v="92"/>
      <x/>
      <x v="231"/>
    </i>
    <i>
      <x v="93"/>
      <x/>
      <x v="126"/>
    </i>
    <i>
      <x v="94"/>
      <x/>
      <x v="273"/>
    </i>
    <i r="1">
      <x v="1"/>
      <x v="237"/>
    </i>
    <i r="1">
      <x v="2"/>
      <x v="286"/>
    </i>
    <i r="1">
      <x v="3"/>
      <x v="149"/>
    </i>
    <i r="1">
      <x v="4"/>
      <x v="136"/>
    </i>
    <i>
      <x v="95"/>
      <x/>
      <x v="247"/>
    </i>
    <i r="1">
      <x v="1"/>
      <x v="241"/>
    </i>
    <i>
      <x v="96"/>
      <x/>
      <x v="40"/>
    </i>
    <i r="1">
      <x v="1"/>
      <x v="197"/>
    </i>
    <i>
      <x v="97"/>
      <x/>
      <x v="165"/>
    </i>
    <i r="1">
      <x v="1"/>
      <x v="242"/>
    </i>
    <i r="1">
      <x v="2"/>
      <x v="34"/>
    </i>
    <i r="1">
      <x v="3"/>
      <x v="171"/>
    </i>
    <i>
      <x v="98"/>
      <x/>
      <x v="329"/>
    </i>
    <i>
      <x v="99"/>
      <x/>
      <x v="37"/>
    </i>
    <i r="1">
      <x v="1"/>
      <x v="20"/>
    </i>
    <i r="1">
      <x v="2"/>
      <x v="39"/>
    </i>
    <i r="1">
      <x v="3"/>
      <x v="38"/>
    </i>
    <i>
      <x v="100"/>
      <x/>
      <x v="208"/>
    </i>
    <i r="1">
      <x v="1"/>
      <x v="257"/>
    </i>
    <i r="1">
      <x v="2"/>
      <x v="256"/>
    </i>
    <i r="1">
      <x v="3"/>
      <x v="254"/>
    </i>
    <i r="1">
      <x v="4"/>
      <x v="253"/>
    </i>
    <i r="1">
      <x v="5"/>
      <x v="255"/>
    </i>
    <i r="1">
      <x v="6"/>
      <x v="258"/>
    </i>
    <i>
      <x v="101"/>
      <x/>
      <x v="260"/>
    </i>
    <i>
      <x v="102"/>
      <x/>
      <x v="239"/>
    </i>
    <i>
      <x v="103"/>
      <x/>
      <x v="62"/>
    </i>
    <i>
      <x v="104"/>
      <x/>
      <x v="263"/>
    </i>
    <i r="1">
      <x v="1"/>
      <x v="17"/>
    </i>
    <i>
      <x v="105"/>
      <x/>
      <x v="209"/>
    </i>
    <i r="1">
      <x v="1"/>
      <x v="13"/>
    </i>
    <i r="1">
      <x v="2"/>
      <x v="274"/>
    </i>
    <i r="1">
      <x v="3"/>
      <x v="64"/>
    </i>
    <i r="1">
      <x v="4"/>
      <x v="319"/>
    </i>
    <i r="1">
      <x v="5"/>
      <x v="272"/>
    </i>
    <i r="1">
      <x v="6"/>
      <x v="275"/>
    </i>
    <i>
      <x v="106"/>
      <x/>
      <x v="329"/>
    </i>
    <i>
      <x v="107"/>
      <x/>
      <x v="329"/>
    </i>
    <i>
      <x v="108"/>
      <x/>
      <x v="329"/>
    </i>
    <i>
      <x v="109"/>
      <x/>
      <x v="329"/>
    </i>
    <i>
      <x v="110"/>
      <x/>
      <x v="233"/>
    </i>
    <i r="1">
      <x v="1"/>
      <x v="216"/>
    </i>
    <i r="1">
      <x v="2"/>
      <x v="199"/>
    </i>
    <i r="1">
      <x v="3"/>
      <x v="148"/>
    </i>
    <i r="1">
      <x v="4"/>
      <x v="120"/>
    </i>
    <i r="1">
      <x v="5"/>
      <x v="219"/>
    </i>
    <i r="1">
      <x v="6"/>
      <x v="72"/>
    </i>
    <i>
      <x v="111"/>
      <x/>
      <x v="287"/>
    </i>
    <i>
      <x v="112"/>
      <x/>
      <x v="306"/>
    </i>
    <i r="1">
      <x v="1"/>
      <x v="307"/>
    </i>
    <i r="1">
      <x v="2"/>
      <x v="308"/>
    </i>
    <i r="1">
      <x v="3"/>
      <x v="222"/>
    </i>
    <i>
      <x v="113"/>
      <x/>
      <x v="65"/>
    </i>
    <i r="1">
      <x v="1"/>
      <x v="130"/>
    </i>
    <i r="1">
      <x v="2"/>
      <x v="305"/>
    </i>
    <i r="1">
      <x v="3"/>
      <x v="191"/>
    </i>
    <i r="1">
      <x v="4"/>
      <x v="74"/>
    </i>
    <i r="1">
      <x v="5"/>
      <x v="170"/>
    </i>
    <i>
      <x v="114"/>
      <x/>
      <x v="322"/>
    </i>
    <i r="1">
      <x v="1"/>
      <x v="320"/>
    </i>
    <i r="1">
      <x v="2"/>
      <x v="71"/>
    </i>
    <i r="1">
      <x v="3"/>
      <x v="283"/>
    </i>
    <i r="1">
      <x v="4"/>
      <x v="321"/>
    </i>
    <i>
      <x v="115"/>
      <x/>
      <x v="323"/>
    </i>
    <i r="1">
      <x v="1"/>
      <x v="290"/>
    </i>
    <i r="1">
      <x v="2"/>
      <x v="57"/>
    </i>
    <i>
      <x v="116"/>
      <x/>
      <x v="326"/>
    </i>
    <i r="1">
      <x v="1"/>
      <x v="328"/>
    </i>
    <i r="1">
      <x v="2"/>
      <x v="327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E681ECBD-8193-4C72-B405-5E691E22AC1D}" autoFormatId="16" applyNumberFormats="0" applyBorderFormats="0" applyFontFormats="0" applyPatternFormats="0" applyAlignmentFormats="0" applyWidthHeightFormats="0">
  <queryTableRefresh nextId="28">
    <queryTableFields count="5">
      <queryTableField id="19" name="IdPersoneria" tableColumnId="1"/>
      <queryTableField id="20" name="nombre" tableColumnId="2"/>
      <queryTableField id="21" name="NombreComercial" tableColumnId="3"/>
      <queryTableField id="22" name="NumTelefono" tableColumnId="4"/>
      <queryTableField id="23" name="CorreoElectronico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1" xr16:uid="{F24F13D1-213D-453D-89F6-44CF59EE7E84}" autoFormatId="16" applyNumberFormats="0" applyBorderFormats="0" applyFontFormats="0" applyPatternFormats="0" applyAlignmentFormats="0" applyWidthHeightFormats="0">
  <queryTableRefresh nextId="39">
    <queryTableFields count="5">
      <queryTableField id="13" name="IdProducto" tableColumnId="12"/>
      <queryTableField id="17" name="NombreProducto" tableColumnId="14"/>
      <queryTableField id="2" name="UnidadMedida" tableColumnId="2"/>
      <queryTableField id="12" name="UnidadMedidaComercial" tableColumnId="11"/>
      <queryTableField id="19" name="Comentario" tableColumnId="1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F2453F3D-574B-4A1D-A0D7-C9C720C8D668}" autoFormatId="16" applyNumberFormats="0" applyBorderFormats="0" applyFontFormats="0" applyPatternFormats="0" applyAlignmentFormats="0" applyWidthHeightFormats="0">
  <queryTableRefresh nextId="27">
    <queryTableFields count="10">
      <queryTableField id="25" name="ID" tableColumnId="2"/>
      <queryTableField id="1" name="facturaID" tableColumnId="1"/>
      <queryTableField id="4" name="IdProducto" tableColumnId="4"/>
      <queryTableField id="8" name="Codigo" tableColumnId="8"/>
      <queryTableField id="13" name="NaturalezaDescuento" tableColumnId="13"/>
      <queryTableField id="9" name="Cantidad" tableColumnId="9"/>
      <queryTableField id="10" name="PrecioUnitario" tableColumnId="10"/>
      <queryTableField id="12" name="MontoDescuento" tableColumnId="12"/>
      <queryTableField id="14" name="ImpuestoNeto" tableColumnId="14"/>
      <queryTableField id="11" name="MontoTotal" tableColumnId="1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DECE0DFB-302C-489D-B96E-63EC312486E3}" autoFormatId="16" applyNumberFormats="0" applyBorderFormats="0" applyFontFormats="0" applyPatternFormats="0" applyAlignmentFormats="0" applyWidthHeightFormats="0">
  <queryTableRefresh nextId="8">
    <queryTableFields count="6">
      <queryTableField id="1" name="facturaID" tableColumnId="1"/>
      <queryTableField id="2" name="FechaEmision" tableColumnId="2"/>
      <queryTableField id="3" name="IdPersoneria" tableColumnId="3"/>
      <queryTableField id="4" name="CondicionVenta" tableColumnId="4"/>
      <queryTableField id="5" name="PlazoCredito" tableColumnId="5"/>
      <queryTableField id="6" name="MedioPago" tableColumnId="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094081E-4D62-4CCE-A498-F4AE1C8457A7}" name="RutaFacturas" displayName="RutaFacturas" ref="B3:B4" totalsRowShown="0">
  <autoFilter ref="B3:B4" xr:uid="{9094081E-4D62-4CCE-A498-F4AE1C8457A7}"/>
  <tableColumns count="1">
    <tableColumn id="1" xr3:uid="{BF1B3975-85CF-47BD-ACCB-9A41C768FD78}" name="Fold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D15534-5492-4DBE-8E9C-E2619671BBE7}" name="proveedor" displayName="proveedor" ref="A1:E3" tableType="queryTable" totalsRowShown="0">
  <autoFilter ref="A1:E3" xr:uid="{78D15534-5492-4DBE-8E9C-E2619671BBE7}"/>
  <tableColumns count="5">
    <tableColumn id="1" xr3:uid="{C97F9151-522B-4245-BD9C-66E7C7E5562F}" uniqueName="1" name="IdPersoneria" queryTableFieldId="19" dataDxfId="20"/>
    <tableColumn id="2" xr3:uid="{ED79ED14-C4D8-41D5-9220-C59AA44C1C9E}" uniqueName="2" name="nombre" queryTableFieldId="20" dataDxfId="19"/>
    <tableColumn id="3" xr3:uid="{17BCC0D9-D64F-4523-93C3-37D6CA3F2301}" uniqueName="3" name="NombreComercial" queryTableFieldId="21" dataDxfId="18"/>
    <tableColumn id="4" xr3:uid="{6825A8A3-080D-4A57-8215-D3C9E0E92EBD}" uniqueName="4" name="NumTelefono" queryTableFieldId="22" dataDxfId="17"/>
    <tableColumn id="5" xr3:uid="{C94C649B-900E-475E-9978-50838A0C7BC1}" uniqueName="5" name="CorreoElectronico" queryTableFieldId="23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A57671D-5E19-427D-939D-E7F0717CA482}" name="tblProductos" displayName="tblProductos" ref="A1:E5" tableType="queryTable" totalsRowShown="0">
  <autoFilter ref="A1:E5" xr:uid="{9A57671D-5E19-427D-939D-E7F0717CA482}"/>
  <tableColumns count="5">
    <tableColumn id="12" xr3:uid="{AEAA15CC-5D40-4351-97CD-135EA102DE20}" uniqueName="12" name="IdProducto" queryTableFieldId="13" dataDxfId="15"/>
    <tableColumn id="14" xr3:uid="{2A63A511-9E10-403D-B7E3-5DBA31B382C0}" uniqueName="14" name="NombreProducto" queryTableFieldId="17" dataDxfId="14"/>
    <tableColumn id="2" xr3:uid="{A29A3ED3-4F2C-4F04-B92F-A35F555BD826}" uniqueName="2" name="UnidadMedida" queryTableFieldId="2" dataDxfId="13"/>
    <tableColumn id="11" xr3:uid="{876DA6D5-A6EC-46D3-BCC4-392B93156DCA}" uniqueName="11" name="UnidadMedidaComercial" queryTableFieldId="12" dataDxfId="12"/>
    <tableColumn id="16" xr3:uid="{387FF473-12C9-452C-AFC7-6DB1C611C7ED}" uniqueName="16" name="Comentario" queryTableFieldId="19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7388A2-7220-4712-8AC6-A824CB08ADA9}" name="tblFacturasDetalle" displayName="tblFacturasDetalle" ref="A1:J5" tableType="queryTable" totalsRowShown="0">
  <autoFilter ref="A1:J5" xr:uid="{527388A2-7220-4712-8AC6-A824CB08ADA9}"/>
  <tableColumns count="10">
    <tableColumn id="2" xr3:uid="{54C153ED-6A8E-4725-9EF6-7A88A3E5AE88}" uniqueName="2" name="ID" queryTableFieldId="25" dataDxfId="10"/>
    <tableColumn id="1" xr3:uid="{AB5523BD-B788-4BEA-B30C-4751D48E0850}" uniqueName="1" name="facturaID" queryTableFieldId="1" dataDxfId="9"/>
    <tableColumn id="4" xr3:uid="{19BEBBF1-0D65-485E-9B07-75817C93190F}" uniqueName="4" name="IdProducto" queryTableFieldId="4" dataDxfId="8"/>
    <tableColumn id="8" xr3:uid="{A0D9850F-B8C9-4591-95A6-D0DB49912F19}" uniqueName="8" name="Codigo" queryTableFieldId="8" dataDxfId="7"/>
    <tableColumn id="13" xr3:uid="{8CA5D39F-4AD3-42C1-AB48-ACD0DAE35AA2}" uniqueName="13" name="NaturalezaDescuento" queryTableFieldId="13" dataDxfId="6"/>
    <tableColumn id="9" xr3:uid="{C55F7287-EB66-4D8C-98E9-FC6EA579B4DC}" uniqueName="9" name="Cantidad" queryTableFieldId="9"/>
    <tableColumn id="10" xr3:uid="{7EEE5C54-8CAA-4E88-8FC1-2A55E874C9B5}" uniqueName="10" name="PrecioUnitario" queryTableFieldId="10"/>
    <tableColumn id="12" xr3:uid="{09097455-E765-4A65-8347-384B82A97CCC}" uniqueName="12" name="MontoDescuento" queryTableFieldId="12"/>
    <tableColumn id="14" xr3:uid="{2B44D1CF-06FE-4769-8909-C9FFE75D5E3A}" uniqueName="14" name="ImpuestoNeto" queryTableFieldId="14"/>
    <tableColumn id="11" xr3:uid="{BBDA95E2-F5AA-4674-8566-008FAF157CB3}" uniqueName="11" name="MontoTotal" queryTableFieldId="1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3D9F5C5-05AB-4EA9-A94C-22182AB5A6B0}" name="tblFacturas" displayName="tblFacturas" ref="A1:F3" tableType="queryTable" totalsRowShown="0">
  <autoFilter ref="A1:F3" xr:uid="{53D9F5C5-05AB-4EA9-A94C-22182AB5A6B0}"/>
  <sortState xmlns:xlrd2="http://schemas.microsoft.com/office/spreadsheetml/2017/richdata2" ref="A2:F3">
    <sortCondition descending="1" ref="B1:B3"/>
  </sortState>
  <tableColumns count="6">
    <tableColumn id="1" xr3:uid="{09156656-CB1C-4A58-8F20-0C9CFC97FC58}" uniqueName="1" name="facturaID" queryTableFieldId="1" dataDxfId="5"/>
    <tableColumn id="2" xr3:uid="{71EE4C0E-AEAA-430C-ABC8-C7E196BE60A4}" uniqueName="2" name="FechaEmision" queryTableFieldId="2" dataDxfId="0"/>
    <tableColumn id="3" xr3:uid="{EE691B74-DD2D-4892-A8F6-FA2E605844AD}" uniqueName="3" name="IdPersoneria" queryTableFieldId="3" dataDxfId="4"/>
    <tableColumn id="4" xr3:uid="{06D32E36-A2DB-4F79-9F49-45C3C7AE5775}" uniqueName="4" name="CondicionVenta" queryTableFieldId="4"/>
    <tableColumn id="5" xr3:uid="{2AC41CD9-0693-47FE-88B5-06D6CAFCF280}" uniqueName="5" name="PlazoCredito" queryTableFieldId="5" dataDxfId="3"/>
    <tableColumn id="6" xr3:uid="{D76698E3-0CAE-40D1-859B-BC56B9FBD3B2}" uniqueName="6" name="MedioPago" queryTableField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9A44850-FD74-4EE2-A782-B45E84366B06}" name="Tabla3" displayName="Tabla3" ref="A1:H365" totalsRowShown="0">
  <autoFilter ref="A1:H365" xr:uid="{59A44850-FD74-4EE2-A782-B45E84366B06}"/>
  <sortState xmlns:xlrd2="http://schemas.microsoft.com/office/spreadsheetml/2017/richdata2" ref="A2:H365">
    <sortCondition ref="C1:C365"/>
  </sortState>
  <tableColumns count="8">
    <tableColumn id="6" xr3:uid="{13500302-D3E1-4E33-B72F-5459CC49183A}" name="IDCatPrin"/>
    <tableColumn id="3" xr3:uid="{7DBA685A-9F81-4C58-8FB3-0426FF119B41}" name="categoriaPrincipal"/>
    <tableColumn id="7" xr3:uid="{0BA401D8-EB87-439E-A3A6-E11D5ABC41BE}" name="IDSubCat"/>
    <tableColumn id="1" xr3:uid="{99B698B3-F73E-41E7-A4FC-9AA4356F78A4}" name="Subcategoria"/>
    <tableColumn id="5" xr3:uid="{28461F14-22DC-434A-8074-5336A22966E1}" name="Iddetalle"/>
    <tableColumn id="2" xr3:uid="{AED021B7-E8D6-435A-9676-DCC929E46086}" name="detalle"/>
    <tableColumn id="4" xr3:uid="{CF0EEDF4-7A78-46EB-B3BD-896C57DFC209}" name="Columna1" dataDxfId="2">
      <calculatedColumnFormula>Tabla3[[#This Row],[IDCatPrin]]&amp;Tabla3[[#This Row],[IDSubCat]]&amp;Tabla3[[#This Row],[Iddetalle]]</calculatedColumnFormula>
    </tableColumn>
    <tableColumn id="8" xr3:uid="{48101A0F-6C21-44B7-9C66-8BDA15206743}" name="lookup" dataDxfId="1">
      <calculatedColumnFormula>VLOOKUP(Tabla3[[#This Row],[Subcategoria]],$D$374:$E$493,2,0)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232D7-6027-4BA1-97D3-D42D22F5037F}">
  <sheetPr codeName="Sheet1"/>
  <dimension ref="B3:B4"/>
  <sheetViews>
    <sheetView workbookViewId="0">
      <selection activeCell="D11" sqref="D11"/>
    </sheetView>
  </sheetViews>
  <sheetFormatPr defaultRowHeight="14.25" x14ac:dyDescent="0.2"/>
  <cols>
    <col min="2" max="2" width="46.5" bestFit="1" customWidth="1"/>
  </cols>
  <sheetData>
    <row r="3" spans="2:2" x14ac:dyDescent="0.2">
      <c r="B3" t="s">
        <v>1212</v>
      </c>
    </row>
    <row r="4" spans="2:2" x14ac:dyDescent="0.2">
      <c r="B4" t="s">
        <v>1224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mdRefrescarPowerQry">
          <controlPr defaultSize="0" autoLine="0" r:id="rId4">
            <anchor moveWithCells="1">
              <from>
                <xdr:col>3</xdr:col>
                <xdr:colOff>28575</xdr:colOff>
                <xdr:row>6</xdr:row>
                <xdr:rowOff>66675</xdr:rowOff>
              </from>
              <to>
                <xdr:col>4</xdr:col>
                <xdr:colOff>419100</xdr:colOff>
                <xdr:row>8</xdr:row>
                <xdr:rowOff>38100</xdr:rowOff>
              </to>
            </anchor>
          </controlPr>
        </control>
      </mc:Choice>
      <mc:Fallback>
        <control shapeId="1026" r:id="rId3" name="cmdRefrescarPowerQry"/>
      </mc:Fallback>
    </mc:AlternateContent>
    <mc:AlternateContent xmlns:mc="http://schemas.openxmlformats.org/markup-compatibility/2006">
      <mc:Choice Requires="x14">
        <control shapeId="1025" r:id="rId5" name="cmdFolder">
          <controlPr defaultSize="0" autoLine="0" autoPict="0" r:id="rId6">
            <anchor moveWithCells="1">
              <from>
                <xdr:col>3</xdr:col>
                <xdr:colOff>38100</xdr:colOff>
                <xdr:row>2</xdr:row>
                <xdr:rowOff>161925</xdr:rowOff>
              </from>
              <to>
                <xdr:col>4</xdr:col>
                <xdr:colOff>428625</xdr:colOff>
                <xdr:row>5</xdr:row>
                <xdr:rowOff>9525</xdr:rowOff>
              </to>
            </anchor>
          </controlPr>
        </control>
      </mc:Choice>
      <mc:Fallback>
        <control shapeId="1025" r:id="rId5" name="cmdFolder"/>
      </mc:Fallback>
    </mc:AlternateContent>
  </controls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00734-32A5-4680-8D90-A829BFB544EC}">
  <sheetPr codeName="Hoja2"/>
  <dimension ref="A1:E3"/>
  <sheetViews>
    <sheetView tabSelected="1" zoomScale="90" zoomScaleNormal="90" workbookViewId="0">
      <selection activeCell="C3" sqref="C3"/>
    </sheetView>
  </sheetViews>
  <sheetFormatPr defaultColWidth="11" defaultRowHeight="14.25" x14ac:dyDescent="0.2"/>
  <cols>
    <col min="1" max="1" width="14.375" bestFit="1" customWidth="1"/>
    <col min="2" max="3" width="27.375" bestFit="1" customWidth="1"/>
    <col min="4" max="4" width="15.125" bestFit="1" customWidth="1"/>
    <col min="5" max="5" width="19.5" bestFit="1" customWidth="1"/>
    <col min="6" max="6" width="14.25" bestFit="1" customWidth="1"/>
    <col min="7" max="7" width="43.125" bestFit="1" customWidth="1"/>
    <col min="8" max="8" width="7.875" bestFit="1" customWidth="1"/>
    <col min="9" max="9" width="43.125" bestFit="1" customWidth="1"/>
    <col min="10" max="10" width="23" bestFit="1" customWidth="1"/>
    <col min="11" max="11" width="17.375" bestFit="1" customWidth="1"/>
    <col min="12" max="12" width="21.25" bestFit="1" customWidth="1"/>
    <col min="13" max="13" width="15.25" bestFit="1" customWidth="1"/>
    <col min="14" max="14" width="35.75" bestFit="1" customWidth="1"/>
    <col min="15" max="15" width="26.125" bestFit="1" customWidth="1"/>
    <col min="16" max="16" width="29.25" bestFit="1" customWidth="1"/>
    <col min="17" max="17" width="35.75" bestFit="1" customWidth="1"/>
    <col min="18" max="18" width="27.375" bestFit="1" customWidth="1"/>
    <col min="19" max="19" width="25.375" bestFit="1" customWidth="1"/>
    <col min="20" max="20" width="25.5" bestFit="1" customWidth="1"/>
    <col min="21" max="21" width="24.5" bestFit="1" customWidth="1"/>
    <col min="22" max="22" width="81" bestFit="1" customWidth="1"/>
    <col min="23" max="23" width="28.5" bestFit="1" customWidth="1"/>
    <col min="24" max="24" width="30.375" bestFit="1" customWidth="1"/>
    <col min="25" max="25" width="23.5" bestFit="1" customWidth="1"/>
    <col min="26" max="26" width="25.375" bestFit="1" customWidth="1"/>
    <col min="27" max="27" width="28.75" bestFit="1" customWidth="1"/>
  </cols>
  <sheetData>
    <row r="1" spans="1:5" x14ac:dyDescent="0.2">
      <c r="A1" t="s">
        <v>9</v>
      </c>
      <c r="B1" t="s">
        <v>10</v>
      </c>
      <c r="C1" t="s">
        <v>11</v>
      </c>
      <c r="D1" t="s">
        <v>12</v>
      </c>
      <c r="E1" t="s">
        <v>13</v>
      </c>
    </row>
    <row r="2" spans="1:5" x14ac:dyDescent="0.2">
      <c r="A2" t="s">
        <v>8</v>
      </c>
      <c r="B2" t="s">
        <v>1218</v>
      </c>
      <c r="C2" t="s">
        <v>1218</v>
      </c>
      <c r="D2" t="s">
        <v>1219</v>
      </c>
      <c r="E2" t="s">
        <v>1220</v>
      </c>
    </row>
    <row r="3" spans="1:5" x14ac:dyDescent="0.2">
      <c r="A3" t="s">
        <v>307</v>
      </c>
      <c r="B3" t="s">
        <v>1221</v>
      </c>
      <c r="C3" t="s">
        <v>1221</v>
      </c>
      <c r="D3" t="s">
        <v>1222</v>
      </c>
      <c r="E3" t="s">
        <v>1223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B6297-6A91-4FD8-9647-9230F579803F}">
  <sheetPr codeName="Hoja7"/>
  <dimension ref="A1:E5"/>
  <sheetViews>
    <sheetView zoomScale="90" zoomScaleNormal="90" workbookViewId="0">
      <selection activeCell="F15" sqref="F15"/>
    </sheetView>
  </sheetViews>
  <sheetFormatPr defaultColWidth="11" defaultRowHeight="14.25" x14ac:dyDescent="0.2"/>
  <cols>
    <col min="1" max="1" width="16" bestFit="1" customWidth="1"/>
    <col min="2" max="2" width="52.625" bestFit="1" customWidth="1"/>
    <col min="3" max="3" width="16.125" bestFit="1" customWidth="1"/>
    <col min="4" max="4" width="25.375" bestFit="1" customWidth="1"/>
    <col min="5" max="5" width="13.5" bestFit="1" customWidth="1"/>
    <col min="6" max="6" width="44.375" bestFit="1" customWidth="1"/>
    <col min="7" max="7" width="24.875" bestFit="1" customWidth="1"/>
    <col min="8" max="8" width="13.125" bestFit="1" customWidth="1"/>
    <col min="9" max="9" width="10" bestFit="1" customWidth="1"/>
    <col min="10" max="10" width="15.75" bestFit="1" customWidth="1"/>
    <col min="11" max="11" width="24.875" bestFit="1" customWidth="1"/>
    <col min="12" max="12" width="16.375" bestFit="1" customWidth="1"/>
    <col min="13" max="13" width="13.125" bestFit="1" customWidth="1"/>
    <col min="14" max="14" width="6.375" bestFit="1" customWidth="1"/>
    <col min="15" max="15" width="6.375" customWidth="1"/>
    <col min="16" max="16" width="13.125" customWidth="1"/>
    <col min="17" max="17" width="6.375" bestFit="1" customWidth="1"/>
    <col min="18" max="18" width="14" customWidth="1"/>
    <col min="19" max="19" width="10" bestFit="1" customWidth="1"/>
    <col min="20" max="20" width="16" bestFit="1" customWidth="1"/>
    <col min="21" max="21" width="16.25" bestFit="1" customWidth="1"/>
    <col min="22" max="22" width="10" bestFit="1" customWidth="1"/>
  </cols>
  <sheetData>
    <row r="1" spans="1:5" x14ac:dyDescent="0.2">
      <c r="A1" t="s">
        <v>1198</v>
      </c>
      <c r="B1" t="s">
        <v>1201</v>
      </c>
      <c r="C1" t="s">
        <v>18</v>
      </c>
      <c r="D1" t="s">
        <v>17</v>
      </c>
      <c r="E1" t="s">
        <v>1206</v>
      </c>
    </row>
    <row r="2" spans="1:5" x14ac:dyDescent="0.2">
      <c r="A2" t="s">
        <v>1215</v>
      </c>
      <c r="B2" t="s">
        <v>6</v>
      </c>
      <c r="C2" t="s">
        <v>4</v>
      </c>
      <c r="D2" t="s">
        <v>1181</v>
      </c>
      <c r="E2" t="s">
        <v>1181</v>
      </c>
    </row>
    <row r="3" spans="1:5" x14ac:dyDescent="0.2">
      <c r="A3" t="s">
        <v>1182</v>
      </c>
      <c r="B3" t="s">
        <v>312</v>
      </c>
      <c r="C3" t="s">
        <v>4</v>
      </c>
      <c r="D3" t="s">
        <v>1178</v>
      </c>
      <c r="E3" t="s">
        <v>1181</v>
      </c>
    </row>
    <row r="4" spans="1:5" x14ac:dyDescent="0.2">
      <c r="A4" t="s">
        <v>1183</v>
      </c>
      <c r="B4" t="s">
        <v>335</v>
      </c>
      <c r="C4" t="s">
        <v>4</v>
      </c>
      <c r="D4" t="s">
        <v>1178</v>
      </c>
      <c r="E4" t="s">
        <v>1181</v>
      </c>
    </row>
    <row r="5" spans="1:5" x14ac:dyDescent="0.2">
      <c r="A5" t="s">
        <v>1184</v>
      </c>
      <c r="B5" t="s">
        <v>316</v>
      </c>
      <c r="C5" t="s">
        <v>4</v>
      </c>
      <c r="D5" t="s">
        <v>1178</v>
      </c>
      <c r="E5" t="s">
        <v>1181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90A21-5C75-4CF1-9EC5-6EA857CE256A}">
  <sheetPr codeName="Sheet2"/>
  <dimension ref="A1:J5"/>
  <sheetViews>
    <sheetView zoomScale="90" zoomScaleNormal="90" workbookViewId="0">
      <selection activeCell="A2" sqref="A2"/>
    </sheetView>
  </sheetViews>
  <sheetFormatPr defaultRowHeight="14.25" x14ac:dyDescent="0.2"/>
  <cols>
    <col min="1" max="1" width="35.25" bestFit="1" customWidth="1"/>
    <col min="2" max="2" width="19.125" bestFit="1" customWidth="1"/>
    <col min="3" max="3" width="16" bestFit="1" customWidth="1"/>
    <col min="4" max="4" width="14" bestFit="1" customWidth="1"/>
    <col min="5" max="5" width="22.25" bestFit="1" customWidth="1"/>
    <col min="6" max="6" width="11.125" bestFit="1" customWidth="1"/>
    <col min="7" max="7" width="16" bestFit="1" customWidth="1"/>
    <col min="8" max="8" width="18.25" bestFit="1" customWidth="1"/>
    <col min="9" max="9" width="15.375" bestFit="1" customWidth="1"/>
    <col min="10" max="10" width="13" customWidth="1"/>
    <col min="11" max="11" width="44.375" bestFit="1" customWidth="1"/>
    <col min="12" max="12" width="13.875" bestFit="1" customWidth="1"/>
    <col min="13" max="13" width="15.375" customWidth="1"/>
    <col min="14" max="14" width="15.75" bestFit="1" customWidth="1"/>
    <col min="15" max="15" width="13" bestFit="1" customWidth="1"/>
    <col min="16" max="16" width="18.25" bestFit="1" customWidth="1"/>
    <col min="17" max="17" width="22.25" bestFit="1" customWidth="1"/>
    <col min="18" max="18" width="15.375" bestFit="1" customWidth="1"/>
  </cols>
  <sheetData>
    <row r="1" spans="1:10" x14ac:dyDescent="0.2">
      <c r="A1" t="s">
        <v>1225</v>
      </c>
      <c r="B1" t="s">
        <v>14</v>
      </c>
      <c r="C1" t="s">
        <v>1198</v>
      </c>
      <c r="D1" t="s">
        <v>15</v>
      </c>
      <c r="E1" t="s">
        <v>23</v>
      </c>
      <c r="F1" t="s">
        <v>16</v>
      </c>
      <c r="G1" t="s">
        <v>20</v>
      </c>
      <c r="H1" t="s">
        <v>22</v>
      </c>
      <c r="I1" t="s">
        <v>24</v>
      </c>
      <c r="J1" t="s">
        <v>21</v>
      </c>
    </row>
    <row r="2" spans="1:10" x14ac:dyDescent="0.2">
      <c r="A2" t="s">
        <v>1226</v>
      </c>
      <c r="B2" t="s">
        <v>7</v>
      </c>
      <c r="C2" t="s">
        <v>1215</v>
      </c>
      <c r="D2" t="s">
        <v>5</v>
      </c>
      <c r="E2" t="s">
        <v>1214</v>
      </c>
      <c r="F2">
        <v>10</v>
      </c>
      <c r="G2">
        <v>11119.16</v>
      </c>
      <c r="H2">
        <v>5560</v>
      </c>
      <c r="I2">
        <v>1056.32</v>
      </c>
      <c r="J2">
        <v>111191.6</v>
      </c>
    </row>
    <row r="3" spans="1:10" x14ac:dyDescent="0.2">
      <c r="A3" t="s">
        <v>1227</v>
      </c>
      <c r="B3" t="s">
        <v>334</v>
      </c>
      <c r="C3" t="s">
        <v>1182</v>
      </c>
      <c r="D3" t="s">
        <v>311</v>
      </c>
      <c r="F3">
        <v>2</v>
      </c>
      <c r="G3">
        <v>15356</v>
      </c>
      <c r="I3">
        <v>307.12</v>
      </c>
      <c r="J3">
        <v>30712</v>
      </c>
    </row>
    <row r="4" spans="1:10" x14ac:dyDescent="0.2">
      <c r="A4" t="s">
        <v>1228</v>
      </c>
      <c r="B4" t="s">
        <v>334</v>
      </c>
      <c r="C4" t="s">
        <v>1183</v>
      </c>
      <c r="D4" t="s">
        <v>313</v>
      </c>
      <c r="F4">
        <v>2</v>
      </c>
      <c r="G4">
        <v>22840</v>
      </c>
      <c r="I4">
        <v>456.8</v>
      </c>
      <c r="J4">
        <v>45680</v>
      </c>
    </row>
    <row r="5" spans="1:10" x14ac:dyDescent="0.2">
      <c r="A5" t="s">
        <v>1229</v>
      </c>
      <c r="B5" t="s">
        <v>334</v>
      </c>
      <c r="C5" t="s">
        <v>1184</v>
      </c>
      <c r="D5" t="s">
        <v>315</v>
      </c>
      <c r="F5">
        <v>5</v>
      </c>
      <c r="G5">
        <v>15356</v>
      </c>
      <c r="I5">
        <v>767.8</v>
      </c>
      <c r="J5">
        <v>76780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607DD-A920-4156-92C8-E574D1339C32}">
  <sheetPr codeName="Sheet3"/>
  <dimension ref="A1:F3"/>
  <sheetViews>
    <sheetView workbookViewId="0">
      <selection activeCell="F7" sqref="F7"/>
    </sheetView>
  </sheetViews>
  <sheetFormatPr defaultRowHeight="14.25" x14ac:dyDescent="0.2"/>
  <cols>
    <col min="1" max="1" width="19.125" bestFit="1" customWidth="1"/>
    <col min="2" max="2" width="15.375" bestFit="1" customWidth="1"/>
    <col min="3" max="3" width="14.25" bestFit="1" customWidth="1"/>
    <col min="4" max="4" width="17" bestFit="1" customWidth="1"/>
    <col min="5" max="5" width="14.375" bestFit="1" customWidth="1"/>
    <col min="6" max="6" width="12.875" bestFit="1" customWidth="1"/>
    <col min="7" max="7" width="43.375" bestFit="1" customWidth="1"/>
  </cols>
  <sheetData>
    <row r="1" spans="1:6" x14ac:dyDescent="0.2">
      <c r="A1" t="s">
        <v>14</v>
      </c>
      <c r="B1" t="s">
        <v>0</v>
      </c>
      <c r="C1" t="s">
        <v>9</v>
      </c>
      <c r="D1" t="s">
        <v>1</v>
      </c>
      <c r="E1" t="s">
        <v>2</v>
      </c>
      <c r="F1" t="s">
        <v>3</v>
      </c>
    </row>
    <row r="2" spans="1:6" x14ac:dyDescent="0.2">
      <c r="A2" t="s">
        <v>7</v>
      </c>
      <c r="B2" s="1">
        <v>45446.59375</v>
      </c>
      <c r="C2" t="s">
        <v>8</v>
      </c>
      <c r="D2">
        <v>1</v>
      </c>
      <c r="E2" t="s">
        <v>1213</v>
      </c>
      <c r="F2">
        <v>4</v>
      </c>
    </row>
    <row r="3" spans="1:6" x14ac:dyDescent="0.2">
      <c r="A3" t="s">
        <v>334</v>
      </c>
      <c r="B3" s="1">
        <v>45443.585520833331</v>
      </c>
      <c r="C3" t="s">
        <v>307</v>
      </c>
      <c r="D3">
        <v>1</v>
      </c>
      <c r="E3" t="s">
        <v>1217</v>
      </c>
      <c r="F3">
        <v>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0B13C-2461-4CF4-B52F-84234FD0854C}">
  <sheetPr codeName="Hoja4"/>
  <dimension ref="A1:R25"/>
  <sheetViews>
    <sheetView workbookViewId="0">
      <selection activeCell="C5" sqref="C5"/>
    </sheetView>
  </sheetViews>
  <sheetFormatPr defaultColWidth="11" defaultRowHeight="14.25" x14ac:dyDescent="0.2"/>
  <cols>
    <col min="1" max="1" width="16" bestFit="1" customWidth="1"/>
    <col min="2" max="2" width="13.75" bestFit="1" customWidth="1"/>
    <col min="3" max="3" width="12.25" bestFit="1" customWidth="1"/>
    <col min="4" max="4" width="14.375" bestFit="1" customWidth="1"/>
    <col min="5" max="5" width="14.375" customWidth="1"/>
    <col min="6" max="6" width="35.875" bestFit="1" customWidth="1"/>
    <col min="7" max="7" width="13.25" bestFit="1" customWidth="1"/>
    <col min="8" max="8" width="18.25" bestFit="1" customWidth="1"/>
    <col min="9" max="9" width="7.75" bestFit="1" customWidth="1"/>
    <col min="10" max="10" width="13.625" bestFit="1" customWidth="1"/>
    <col min="11" max="11" width="22.75" bestFit="1" customWidth="1"/>
    <col min="12" max="12" width="14.125" bestFit="1" customWidth="1"/>
    <col min="13" max="13" width="12.75" bestFit="1" customWidth="1"/>
    <col min="14" max="14" width="4.375" bestFit="1" customWidth="1"/>
    <col min="15" max="15" width="35.875" bestFit="1" customWidth="1"/>
  </cols>
  <sheetData>
    <row r="1" spans="1:18" ht="15" x14ac:dyDescent="0.25">
      <c r="A1" s="5" t="s">
        <v>1198</v>
      </c>
      <c r="B1" s="5" t="s">
        <v>1199</v>
      </c>
      <c r="C1" s="5" t="s">
        <v>1180</v>
      </c>
      <c r="D1" s="5" t="s">
        <v>1200</v>
      </c>
      <c r="E1" s="2" t="s">
        <v>15</v>
      </c>
      <c r="F1" s="5" t="s">
        <v>1201</v>
      </c>
      <c r="G1" s="5" t="s">
        <v>20</v>
      </c>
      <c r="H1" s="5" t="s">
        <v>1202</v>
      </c>
      <c r="I1" s="5" t="s">
        <v>336</v>
      </c>
      <c r="J1" s="2" t="s">
        <v>18</v>
      </c>
      <c r="K1" s="2" t="s">
        <v>17</v>
      </c>
      <c r="L1" s="5" t="s">
        <v>1203</v>
      </c>
      <c r="M1" s="5" t="s">
        <v>1204</v>
      </c>
      <c r="N1" s="5" t="s">
        <v>1205</v>
      </c>
    </row>
    <row r="2" spans="1:18" x14ac:dyDescent="0.2">
      <c r="A2" t="str">
        <f t="shared" ref="A2:A25" si="0">TEXT(E2&amp;LEN(F2),"000000000000000")</f>
        <v>214950000050026</v>
      </c>
      <c r="C2">
        <v>3101289929</v>
      </c>
      <c r="E2" t="s">
        <v>323</v>
      </c>
      <c r="F2" t="s">
        <v>324</v>
      </c>
      <c r="H2">
        <v>3</v>
      </c>
      <c r="J2" t="s">
        <v>268</v>
      </c>
      <c r="Q2" t="s">
        <v>1182</v>
      </c>
      <c r="R2" t="s">
        <v>312</v>
      </c>
    </row>
    <row r="3" spans="1:18" x14ac:dyDescent="0.2">
      <c r="A3" t="str">
        <f t="shared" si="0"/>
        <v>214950000050026</v>
      </c>
      <c r="C3">
        <v>3101289929</v>
      </c>
      <c r="E3" t="s">
        <v>323</v>
      </c>
      <c r="F3" t="s">
        <v>324</v>
      </c>
      <c r="H3">
        <v>4</v>
      </c>
      <c r="J3" t="s">
        <v>268</v>
      </c>
      <c r="K3" t="s">
        <v>1178</v>
      </c>
      <c r="Q3" t="s">
        <v>1183</v>
      </c>
      <c r="R3" t="s">
        <v>335</v>
      </c>
    </row>
    <row r="4" spans="1:18" x14ac:dyDescent="0.2">
      <c r="A4" t="str">
        <f t="shared" si="0"/>
        <v>216120000990029</v>
      </c>
      <c r="C4">
        <v>3101173639</v>
      </c>
      <c r="E4" t="s">
        <v>311</v>
      </c>
      <c r="F4" t="s">
        <v>312</v>
      </c>
      <c r="H4">
        <v>2</v>
      </c>
      <c r="J4" t="s">
        <v>4</v>
      </c>
      <c r="K4" t="s">
        <v>1178</v>
      </c>
      <c r="M4" s="4"/>
      <c r="Q4" t="s">
        <v>1184</v>
      </c>
      <c r="R4" t="s">
        <v>316</v>
      </c>
    </row>
    <row r="5" spans="1:18" x14ac:dyDescent="0.2">
      <c r="A5" t="str">
        <f t="shared" si="0"/>
        <v>216520000020035</v>
      </c>
      <c r="C5">
        <v>3101173639</v>
      </c>
      <c r="E5" t="s">
        <v>315</v>
      </c>
      <c r="F5" t="s">
        <v>316</v>
      </c>
      <c r="H5">
        <v>5</v>
      </c>
      <c r="J5" t="s">
        <v>4</v>
      </c>
      <c r="K5" t="s">
        <v>1178</v>
      </c>
      <c r="Q5" t="s">
        <v>1185</v>
      </c>
      <c r="R5" t="s">
        <v>377</v>
      </c>
    </row>
    <row r="6" spans="1:18" x14ac:dyDescent="0.2">
      <c r="A6" t="str">
        <f t="shared" si="0"/>
        <v>217000000030033</v>
      </c>
      <c r="C6">
        <v>3101173639</v>
      </c>
      <c r="E6" t="s">
        <v>313</v>
      </c>
      <c r="F6" t="s">
        <v>335</v>
      </c>
      <c r="H6">
        <v>2</v>
      </c>
      <c r="J6" t="s">
        <v>4</v>
      </c>
      <c r="Q6" t="s">
        <v>1186</v>
      </c>
      <c r="R6" t="s">
        <v>333</v>
      </c>
    </row>
    <row r="7" spans="1:18" x14ac:dyDescent="0.2">
      <c r="A7" t="str">
        <f t="shared" si="0"/>
        <v>244900600990027</v>
      </c>
      <c r="C7">
        <v>3101289929</v>
      </c>
      <c r="E7" t="s">
        <v>321</v>
      </c>
      <c r="F7" t="s">
        <v>322</v>
      </c>
      <c r="H7">
        <v>2</v>
      </c>
      <c r="J7" t="s">
        <v>268</v>
      </c>
      <c r="Q7" t="s">
        <v>1187</v>
      </c>
      <c r="R7" t="s">
        <v>365</v>
      </c>
    </row>
    <row r="8" spans="1:18" x14ac:dyDescent="0.2">
      <c r="A8" t="str">
        <f t="shared" si="0"/>
        <v>244900600990027</v>
      </c>
      <c r="C8">
        <v>3101289929</v>
      </c>
      <c r="E8" t="s">
        <v>321</v>
      </c>
      <c r="F8" t="s">
        <v>1197</v>
      </c>
      <c r="H8">
        <v>3</v>
      </c>
      <c r="J8" t="s">
        <v>268</v>
      </c>
      <c r="Q8" t="s">
        <v>1188</v>
      </c>
      <c r="R8" t="s">
        <v>367</v>
      </c>
    </row>
    <row r="9" spans="1:18" x14ac:dyDescent="0.2">
      <c r="A9" t="str">
        <f t="shared" si="0"/>
        <v>319120099030016</v>
      </c>
      <c r="C9">
        <v>3101289929</v>
      </c>
      <c r="E9" t="s">
        <v>366</v>
      </c>
      <c r="F9" t="s">
        <v>367</v>
      </c>
      <c r="H9">
        <v>10</v>
      </c>
      <c r="J9" t="s">
        <v>268</v>
      </c>
      <c r="Q9" t="s">
        <v>1189</v>
      </c>
      <c r="R9" t="s">
        <v>322</v>
      </c>
    </row>
    <row r="10" spans="1:18" x14ac:dyDescent="0.2">
      <c r="A10" t="str">
        <f t="shared" si="0"/>
        <v>321930100000020</v>
      </c>
      <c r="C10">
        <v>3101289929</v>
      </c>
      <c r="E10" t="s">
        <v>325</v>
      </c>
      <c r="F10" t="s">
        <v>326</v>
      </c>
      <c r="H10">
        <v>30</v>
      </c>
      <c r="J10" t="s">
        <v>268</v>
      </c>
      <c r="Q10" t="s">
        <v>1190</v>
      </c>
      <c r="R10" t="s">
        <v>324</v>
      </c>
    </row>
    <row r="11" spans="1:18" x14ac:dyDescent="0.2">
      <c r="A11" t="str">
        <f t="shared" si="0"/>
        <v>321930100000020</v>
      </c>
      <c r="C11">
        <v>3101289929</v>
      </c>
      <c r="E11" t="s">
        <v>325</v>
      </c>
      <c r="F11" t="s">
        <v>326</v>
      </c>
      <c r="H11">
        <v>54</v>
      </c>
      <c r="J11" t="s">
        <v>268</v>
      </c>
      <c r="Q11" t="s">
        <v>1191</v>
      </c>
      <c r="R11" t="s">
        <v>326</v>
      </c>
    </row>
    <row r="12" spans="1:18" x14ac:dyDescent="0.2">
      <c r="A12" t="str">
        <f t="shared" si="0"/>
        <v>333110001000014</v>
      </c>
      <c r="C12">
        <v>3101207227</v>
      </c>
      <c r="E12" t="s">
        <v>328</v>
      </c>
      <c r="F12" t="s">
        <v>375</v>
      </c>
      <c r="H12">
        <v>27.137</v>
      </c>
      <c r="J12" t="s">
        <v>268</v>
      </c>
      <c r="Q12" t="s">
        <v>1192</v>
      </c>
      <c r="R12" t="s">
        <v>362</v>
      </c>
    </row>
    <row r="13" spans="1:18" x14ac:dyDescent="0.2">
      <c r="A13" t="str">
        <f t="shared" si="0"/>
        <v>333110001000015</v>
      </c>
      <c r="C13">
        <v>3101105734</v>
      </c>
      <c r="E13" t="s">
        <v>328</v>
      </c>
      <c r="F13" t="s">
        <v>377</v>
      </c>
      <c r="H13">
        <v>13.477</v>
      </c>
      <c r="J13" t="s">
        <v>268</v>
      </c>
      <c r="Q13" t="s">
        <v>1193</v>
      </c>
      <c r="R13" t="s">
        <v>370</v>
      </c>
    </row>
    <row r="14" spans="1:18" x14ac:dyDescent="0.2">
      <c r="A14" t="str">
        <f t="shared" si="0"/>
        <v>353340100000014</v>
      </c>
      <c r="C14">
        <v>3101289929</v>
      </c>
      <c r="E14" t="s">
        <v>369</v>
      </c>
      <c r="F14" t="s">
        <v>370</v>
      </c>
      <c r="H14">
        <v>8</v>
      </c>
      <c r="J14" t="s">
        <v>268</v>
      </c>
      <c r="Q14" t="s">
        <v>1194</v>
      </c>
      <c r="R14" t="s">
        <v>372</v>
      </c>
    </row>
    <row r="15" spans="1:18" x14ac:dyDescent="0.2">
      <c r="A15" t="str">
        <f t="shared" si="0"/>
        <v>363209903990017</v>
      </c>
      <c r="C15">
        <v>3101289929</v>
      </c>
      <c r="E15" t="s">
        <v>364</v>
      </c>
      <c r="F15" t="s">
        <v>365</v>
      </c>
      <c r="H15">
        <v>25</v>
      </c>
      <c r="J15" t="s">
        <v>268</v>
      </c>
      <c r="Q15" t="s">
        <v>1195</v>
      </c>
      <c r="R15" t="s">
        <v>373</v>
      </c>
    </row>
    <row r="16" spans="1:18" x14ac:dyDescent="0.2">
      <c r="A16" t="str">
        <f t="shared" si="0"/>
        <v>364100199990025</v>
      </c>
      <c r="C16">
        <v>3101289929</v>
      </c>
      <c r="E16" t="s">
        <v>371</v>
      </c>
      <c r="F16" t="s">
        <v>372</v>
      </c>
      <c r="H16">
        <v>1</v>
      </c>
      <c r="J16" t="s">
        <v>268</v>
      </c>
      <c r="Q16" t="s">
        <v>1196</v>
      </c>
      <c r="R16" t="s">
        <v>375</v>
      </c>
    </row>
    <row r="17" spans="1:11" x14ac:dyDescent="0.2">
      <c r="A17" t="str">
        <f t="shared" si="0"/>
        <v>364100199990026</v>
      </c>
      <c r="C17">
        <v>3101289929</v>
      </c>
      <c r="E17" t="s">
        <v>371</v>
      </c>
      <c r="F17" t="s">
        <v>373</v>
      </c>
      <c r="H17">
        <v>1</v>
      </c>
      <c r="J17" t="s">
        <v>268</v>
      </c>
      <c r="K17" t="s">
        <v>268</v>
      </c>
    </row>
    <row r="18" spans="1:11" x14ac:dyDescent="0.2">
      <c r="A18" t="str">
        <f t="shared" si="0"/>
        <v>633990000000011</v>
      </c>
      <c r="C18">
        <v>3102811909</v>
      </c>
      <c r="E18" t="s">
        <v>332</v>
      </c>
      <c r="F18" t="s">
        <v>333</v>
      </c>
      <c r="H18">
        <v>1</v>
      </c>
      <c r="J18" t="s">
        <v>268</v>
      </c>
      <c r="K18" t="s">
        <v>268</v>
      </c>
    </row>
    <row r="19" spans="1:11" x14ac:dyDescent="0.2">
      <c r="A19" t="str">
        <f t="shared" si="0"/>
        <v>633990000000011</v>
      </c>
      <c r="C19">
        <v>3102811909</v>
      </c>
      <c r="E19" t="s">
        <v>332</v>
      </c>
      <c r="F19" t="s">
        <v>333</v>
      </c>
      <c r="H19">
        <v>1</v>
      </c>
      <c r="J19" t="s">
        <v>268</v>
      </c>
      <c r="K19" t="s">
        <v>268</v>
      </c>
    </row>
    <row r="20" spans="1:11" x14ac:dyDescent="0.2">
      <c r="A20" t="str">
        <f t="shared" si="0"/>
        <v>633990000000011</v>
      </c>
      <c r="C20">
        <v>3102811909</v>
      </c>
      <c r="E20" t="s">
        <v>332</v>
      </c>
      <c r="F20" t="s">
        <v>333</v>
      </c>
      <c r="H20">
        <v>1</v>
      </c>
      <c r="J20" t="s">
        <v>268</v>
      </c>
      <c r="K20" t="s">
        <v>268</v>
      </c>
    </row>
    <row r="21" spans="1:11" x14ac:dyDescent="0.2">
      <c r="A21" t="str">
        <f t="shared" si="0"/>
        <v>633990000000011</v>
      </c>
      <c r="C21">
        <v>3102811909</v>
      </c>
      <c r="E21" t="s">
        <v>332</v>
      </c>
      <c r="F21" t="s">
        <v>333</v>
      </c>
      <c r="H21">
        <v>1</v>
      </c>
      <c r="J21" t="s">
        <v>268</v>
      </c>
      <c r="K21" t="s">
        <v>268</v>
      </c>
    </row>
    <row r="22" spans="1:11" x14ac:dyDescent="0.2">
      <c r="A22" t="str">
        <f t="shared" si="0"/>
        <v>633990000000011</v>
      </c>
      <c r="C22">
        <v>3102811909</v>
      </c>
      <c r="E22" t="s">
        <v>332</v>
      </c>
      <c r="F22" t="s">
        <v>379</v>
      </c>
      <c r="H22">
        <v>2</v>
      </c>
      <c r="J22" t="s">
        <v>268</v>
      </c>
      <c r="K22" t="s">
        <v>268</v>
      </c>
    </row>
    <row r="23" spans="1:11" x14ac:dyDescent="0.2">
      <c r="A23" t="str">
        <f t="shared" si="0"/>
        <v>633990000000011</v>
      </c>
      <c r="C23">
        <v>3102811909</v>
      </c>
      <c r="E23" t="s">
        <v>332</v>
      </c>
      <c r="F23" t="s">
        <v>333</v>
      </c>
      <c r="H23">
        <v>2</v>
      </c>
      <c r="J23" t="s">
        <v>268</v>
      </c>
      <c r="K23" t="s">
        <v>268</v>
      </c>
    </row>
    <row r="24" spans="1:11" x14ac:dyDescent="0.2">
      <c r="A24" t="str">
        <f t="shared" si="0"/>
        <v>633990000000011</v>
      </c>
      <c r="C24">
        <v>3102811909</v>
      </c>
      <c r="E24" t="s">
        <v>332</v>
      </c>
      <c r="F24" t="s">
        <v>379</v>
      </c>
      <c r="H24">
        <v>2</v>
      </c>
      <c r="J24" t="s">
        <v>268</v>
      </c>
      <c r="K24" t="s">
        <v>268</v>
      </c>
    </row>
    <row r="25" spans="1:11" x14ac:dyDescent="0.2">
      <c r="A25" t="str">
        <f t="shared" si="0"/>
        <v>843920000000018</v>
      </c>
      <c r="C25">
        <v>604200165</v>
      </c>
      <c r="E25" t="s">
        <v>361</v>
      </c>
      <c r="F25" t="s">
        <v>362</v>
      </c>
      <c r="H25">
        <v>1</v>
      </c>
      <c r="J25" t="s">
        <v>1179</v>
      </c>
      <c r="K25" t="s">
        <v>268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551C7-4DD2-4DE9-90EE-3D83A07306C4}">
  <sheetPr codeName="Hoja5"/>
  <dimension ref="A1:L493"/>
  <sheetViews>
    <sheetView zoomScale="80" zoomScaleNormal="80" workbookViewId="0">
      <selection activeCell="F10" sqref="F10"/>
    </sheetView>
  </sheetViews>
  <sheetFormatPr defaultColWidth="11" defaultRowHeight="14.25" x14ac:dyDescent="0.2"/>
  <cols>
    <col min="1" max="1" width="5.25" customWidth="1"/>
    <col min="2" max="2" width="14" customWidth="1"/>
    <col min="3" max="3" width="6.125" customWidth="1"/>
    <col min="4" max="4" width="23.125" customWidth="1"/>
    <col min="5" max="5" width="10.5" bestFit="1" customWidth="1"/>
    <col min="6" max="6" width="28.625" customWidth="1"/>
    <col min="9" max="9" width="6.125" customWidth="1"/>
    <col min="10" max="10" width="11.75" bestFit="1" customWidth="1"/>
    <col min="11" max="11" width="11.125" bestFit="1" customWidth="1"/>
    <col min="12" max="12" width="37.625" bestFit="1" customWidth="1"/>
    <col min="13" max="13" width="23.25" bestFit="1" customWidth="1"/>
    <col min="14" max="16" width="4.125" customWidth="1"/>
    <col min="17" max="17" width="11.375" customWidth="1"/>
    <col min="18" max="19" width="11.125" bestFit="1" customWidth="1"/>
    <col min="20" max="20" width="37.375" bestFit="1" customWidth="1"/>
  </cols>
  <sheetData>
    <row r="1" spans="1:12" x14ac:dyDescent="0.2">
      <c r="A1" t="s">
        <v>1175</v>
      </c>
      <c r="B1" t="s">
        <v>734</v>
      </c>
      <c r="C1" t="s">
        <v>1176</v>
      </c>
      <c r="D1" t="s">
        <v>1173</v>
      </c>
      <c r="E1" t="s">
        <v>1177</v>
      </c>
      <c r="F1" t="s">
        <v>1174</v>
      </c>
      <c r="G1" t="s">
        <v>733</v>
      </c>
      <c r="H1" t="s">
        <v>1211</v>
      </c>
      <c r="J1" s="3" t="s">
        <v>1176</v>
      </c>
      <c r="K1" s="3" t="s">
        <v>1177</v>
      </c>
      <c r="L1" s="3" t="s">
        <v>1174</v>
      </c>
    </row>
    <row r="2" spans="1:12" x14ac:dyDescent="0.2">
      <c r="A2">
        <v>12</v>
      </c>
      <c r="B2" t="s">
        <v>972</v>
      </c>
      <c r="C2">
        <v>1</v>
      </c>
      <c r="D2" t="s">
        <v>963</v>
      </c>
      <c r="E2">
        <v>1</v>
      </c>
      <c r="F2" t="s">
        <v>992</v>
      </c>
      <c r="G2" t="str">
        <f>Tabla3[[#This Row],[IDCatPrin]]&amp;Tabla3[[#This Row],[IDSubCat]]&amp;Tabla3[[#This Row],[Iddetalle]]</f>
        <v>1211</v>
      </c>
      <c r="H2">
        <f>VLOOKUP(Tabla3[[#This Row],[Subcategoria]],$D$374:$E$493,2,0)</f>
        <v>1</v>
      </c>
      <c r="J2">
        <v>1</v>
      </c>
      <c r="K2">
        <v>1</v>
      </c>
      <c r="L2" t="s">
        <v>992</v>
      </c>
    </row>
    <row r="3" spans="1:12" x14ac:dyDescent="0.2">
      <c r="A3">
        <v>12</v>
      </c>
      <c r="B3" t="s">
        <v>972</v>
      </c>
      <c r="C3">
        <v>1</v>
      </c>
      <c r="D3" t="s">
        <v>963</v>
      </c>
      <c r="E3">
        <v>2</v>
      </c>
      <c r="F3" t="s">
        <v>993</v>
      </c>
      <c r="G3" t="str">
        <f>Tabla3[[#This Row],[IDCatPrin]]&amp;Tabla3[[#This Row],[IDSubCat]]&amp;Tabla3[[#This Row],[Iddetalle]]</f>
        <v>1212</v>
      </c>
      <c r="H3">
        <f>VLOOKUP(Tabla3[[#This Row],[Subcategoria]],$D$374:$E$493,2,0)</f>
        <v>1</v>
      </c>
      <c r="J3">
        <v>1</v>
      </c>
      <c r="K3">
        <v>2</v>
      </c>
      <c r="L3" t="s">
        <v>993</v>
      </c>
    </row>
    <row r="4" spans="1:12" x14ac:dyDescent="0.2">
      <c r="A4">
        <v>12</v>
      </c>
      <c r="B4" t="s">
        <v>972</v>
      </c>
      <c r="C4">
        <v>1</v>
      </c>
      <c r="D4" t="s">
        <v>963</v>
      </c>
      <c r="E4">
        <v>3</v>
      </c>
      <c r="F4" t="s">
        <v>994</v>
      </c>
      <c r="G4" t="str">
        <f>Tabla3[[#This Row],[IDCatPrin]]&amp;Tabla3[[#This Row],[IDSubCat]]&amp;Tabla3[[#This Row],[Iddetalle]]</f>
        <v>1213</v>
      </c>
      <c r="H4">
        <f>VLOOKUP(Tabla3[[#This Row],[Subcategoria]],$D$374:$E$493,2,0)</f>
        <v>1</v>
      </c>
      <c r="J4">
        <v>1</v>
      </c>
      <c r="K4">
        <v>3</v>
      </c>
      <c r="L4" t="s">
        <v>994</v>
      </c>
    </row>
    <row r="5" spans="1:12" x14ac:dyDescent="0.2">
      <c r="A5">
        <v>12</v>
      </c>
      <c r="B5" t="s">
        <v>972</v>
      </c>
      <c r="C5">
        <v>1</v>
      </c>
      <c r="D5" t="s">
        <v>963</v>
      </c>
      <c r="E5">
        <v>4</v>
      </c>
      <c r="F5" t="s">
        <v>995</v>
      </c>
      <c r="G5" t="str">
        <f>Tabla3[[#This Row],[IDCatPrin]]&amp;Tabla3[[#This Row],[IDSubCat]]&amp;Tabla3[[#This Row],[Iddetalle]]</f>
        <v>1214</v>
      </c>
      <c r="H5">
        <f>VLOOKUP(Tabla3[[#This Row],[Subcategoria]],$D$374:$E$493,2,0)</f>
        <v>1</v>
      </c>
      <c r="J5">
        <v>1</v>
      </c>
      <c r="K5">
        <v>4</v>
      </c>
      <c r="L5" t="s">
        <v>995</v>
      </c>
    </row>
    <row r="6" spans="1:12" x14ac:dyDescent="0.2">
      <c r="A6">
        <v>12</v>
      </c>
      <c r="B6" t="s">
        <v>972</v>
      </c>
      <c r="C6">
        <v>1</v>
      </c>
      <c r="D6" t="s">
        <v>963</v>
      </c>
      <c r="E6">
        <v>5</v>
      </c>
      <c r="F6" t="s">
        <v>996</v>
      </c>
      <c r="G6" t="str">
        <f>Tabla3[[#This Row],[IDCatPrin]]&amp;Tabla3[[#This Row],[IDSubCat]]&amp;Tabla3[[#This Row],[Iddetalle]]</f>
        <v>1215</v>
      </c>
      <c r="H6">
        <f>VLOOKUP(Tabla3[[#This Row],[Subcategoria]],$D$374:$E$493,2,0)</f>
        <v>1</v>
      </c>
      <c r="J6">
        <v>1</v>
      </c>
      <c r="K6">
        <v>5</v>
      </c>
      <c r="L6" t="s">
        <v>996</v>
      </c>
    </row>
    <row r="7" spans="1:12" x14ac:dyDescent="0.2">
      <c r="A7">
        <v>13</v>
      </c>
      <c r="B7" t="s">
        <v>1163</v>
      </c>
      <c r="C7">
        <v>2</v>
      </c>
      <c r="D7" t="s">
        <v>1168</v>
      </c>
      <c r="E7">
        <v>1</v>
      </c>
      <c r="G7" t="str">
        <f>Tabla3[[#This Row],[IDCatPrin]]&amp;Tabla3[[#This Row],[IDSubCat]]&amp;Tabla3[[#This Row],[Iddetalle]]</f>
        <v>1321</v>
      </c>
      <c r="H7">
        <f>VLOOKUP(Tabla3[[#This Row],[Subcategoria]],$D$374:$E$493,2,0)</f>
        <v>2</v>
      </c>
      <c r="J7">
        <v>2</v>
      </c>
      <c r="K7">
        <v>1</v>
      </c>
      <c r="L7" t="s">
        <v>1216</v>
      </c>
    </row>
    <row r="8" spans="1:12" x14ac:dyDescent="0.2">
      <c r="A8">
        <v>1</v>
      </c>
      <c r="B8" t="s">
        <v>713</v>
      </c>
      <c r="C8">
        <v>3</v>
      </c>
      <c r="D8" t="s">
        <v>727</v>
      </c>
      <c r="E8">
        <v>1</v>
      </c>
      <c r="F8" t="s">
        <v>803</v>
      </c>
      <c r="G8" t="str">
        <f>Tabla3[[#This Row],[IDCatPrin]]&amp;Tabla3[[#This Row],[IDSubCat]]&amp;Tabla3[[#This Row],[Iddetalle]]</f>
        <v>131</v>
      </c>
      <c r="H8">
        <f>VLOOKUP(Tabla3[[#This Row],[Subcategoria]],$D$374:$E$493,2,0)</f>
        <v>3</v>
      </c>
      <c r="J8">
        <v>3</v>
      </c>
      <c r="K8">
        <v>1</v>
      </c>
      <c r="L8" t="s">
        <v>803</v>
      </c>
    </row>
    <row r="9" spans="1:12" x14ac:dyDescent="0.2">
      <c r="A9">
        <v>1</v>
      </c>
      <c r="B9" t="s">
        <v>713</v>
      </c>
      <c r="C9">
        <v>3</v>
      </c>
      <c r="D9" t="s">
        <v>727</v>
      </c>
      <c r="E9">
        <v>2</v>
      </c>
      <c r="F9" t="s">
        <v>804</v>
      </c>
      <c r="G9" t="str">
        <f>Tabla3[[#This Row],[IDCatPrin]]&amp;Tabla3[[#This Row],[IDSubCat]]&amp;Tabla3[[#This Row],[Iddetalle]]</f>
        <v>132</v>
      </c>
      <c r="H9">
        <f>VLOOKUP(Tabla3[[#This Row],[Subcategoria]],$D$374:$E$493,2,0)</f>
        <v>3</v>
      </c>
      <c r="J9">
        <v>3</v>
      </c>
      <c r="K9">
        <v>2</v>
      </c>
      <c r="L9" t="s">
        <v>804</v>
      </c>
    </row>
    <row r="10" spans="1:12" x14ac:dyDescent="0.2">
      <c r="A10">
        <v>1</v>
      </c>
      <c r="B10" t="s">
        <v>713</v>
      </c>
      <c r="C10">
        <v>3</v>
      </c>
      <c r="D10" t="s">
        <v>727</v>
      </c>
      <c r="E10">
        <v>3</v>
      </c>
      <c r="F10" t="s">
        <v>805</v>
      </c>
      <c r="G10" t="str">
        <f>Tabla3[[#This Row],[IDCatPrin]]&amp;Tabla3[[#This Row],[IDSubCat]]&amp;Tabla3[[#This Row],[Iddetalle]]</f>
        <v>133</v>
      </c>
      <c r="H10">
        <f>VLOOKUP(Tabla3[[#This Row],[Subcategoria]],$D$374:$E$493,2,0)</f>
        <v>3</v>
      </c>
      <c r="J10">
        <v>3</v>
      </c>
      <c r="K10">
        <v>3</v>
      </c>
      <c r="L10" t="s">
        <v>805</v>
      </c>
    </row>
    <row r="11" spans="1:12" x14ac:dyDescent="0.2">
      <c r="A11">
        <v>1</v>
      </c>
      <c r="B11" t="s">
        <v>713</v>
      </c>
      <c r="C11">
        <v>3</v>
      </c>
      <c r="D11" t="s">
        <v>727</v>
      </c>
      <c r="E11">
        <v>4</v>
      </c>
      <c r="F11" t="s">
        <v>806</v>
      </c>
      <c r="G11" t="str">
        <f>Tabla3[[#This Row],[IDCatPrin]]&amp;Tabla3[[#This Row],[IDSubCat]]&amp;Tabla3[[#This Row],[Iddetalle]]</f>
        <v>134</v>
      </c>
      <c r="H11">
        <f>VLOOKUP(Tabla3[[#This Row],[Subcategoria]],$D$374:$E$493,2,0)</f>
        <v>3</v>
      </c>
      <c r="J11">
        <v>3</v>
      </c>
      <c r="K11">
        <v>4</v>
      </c>
      <c r="L11" t="s">
        <v>806</v>
      </c>
    </row>
    <row r="12" spans="1:12" x14ac:dyDescent="0.2">
      <c r="A12">
        <v>1</v>
      </c>
      <c r="B12" t="s">
        <v>713</v>
      </c>
      <c r="C12">
        <v>3</v>
      </c>
      <c r="D12" t="s">
        <v>727</v>
      </c>
      <c r="E12">
        <v>5</v>
      </c>
      <c r="F12" t="s">
        <v>807</v>
      </c>
      <c r="G12" t="str">
        <f>Tabla3[[#This Row],[IDCatPrin]]&amp;Tabla3[[#This Row],[IDSubCat]]&amp;Tabla3[[#This Row],[Iddetalle]]</f>
        <v>135</v>
      </c>
      <c r="H12">
        <f>VLOOKUP(Tabla3[[#This Row],[Subcategoria]],$D$374:$E$493,2,0)</f>
        <v>3</v>
      </c>
      <c r="J12">
        <v>3</v>
      </c>
      <c r="K12">
        <v>5</v>
      </c>
      <c r="L12" t="s">
        <v>807</v>
      </c>
    </row>
    <row r="13" spans="1:12" x14ac:dyDescent="0.2">
      <c r="A13">
        <v>9</v>
      </c>
      <c r="B13" t="s">
        <v>1047</v>
      </c>
      <c r="C13">
        <v>4</v>
      </c>
      <c r="D13" t="s">
        <v>1054</v>
      </c>
      <c r="E13">
        <v>1</v>
      </c>
      <c r="F13" t="s">
        <v>1099</v>
      </c>
      <c r="G13" t="str">
        <f>Tabla3[[#This Row],[IDCatPrin]]&amp;Tabla3[[#This Row],[IDSubCat]]&amp;Tabla3[[#This Row],[Iddetalle]]</f>
        <v>941</v>
      </c>
      <c r="H13">
        <f>VLOOKUP(Tabla3[[#This Row],[Subcategoria]],$D$374:$E$493,2,0)</f>
        <v>4</v>
      </c>
      <c r="J13">
        <v>4</v>
      </c>
      <c r="K13">
        <v>1</v>
      </c>
      <c r="L13" t="s">
        <v>1099</v>
      </c>
    </row>
    <row r="14" spans="1:12" x14ac:dyDescent="0.2">
      <c r="A14">
        <v>9</v>
      </c>
      <c r="B14" t="s">
        <v>1047</v>
      </c>
      <c r="C14">
        <v>4</v>
      </c>
      <c r="D14" t="s">
        <v>1054</v>
      </c>
      <c r="E14">
        <v>2</v>
      </c>
      <c r="F14" t="s">
        <v>1100</v>
      </c>
      <c r="G14" t="str">
        <f>Tabla3[[#This Row],[IDCatPrin]]&amp;Tabla3[[#This Row],[IDSubCat]]&amp;Tabla3[[#This Row],[Iddetalle]]</f>
        <v>942</v>
      </c>
      <c r="H14">
        <f>VLOOKUP(Tabla3[[#This Row],[Subcategoria]],$D$374:$E$493,2,0)</f>
        <v>4</v>
      </c>
      <c r="J14">
        <v>4</v>
      </c>
      <c r="K14">
        <v>2</v>
      </c>
      <c r="L14" t="s">
        <v>1100</v>
      </c>
    </row>
    <row r="15" spans="1:12" x14ac:dyDescent="0.2">
      <c r="A15">
        <v>10</v>
      </c>
      <c r="B15" t="s">
        <v>840</v>
      </c>
      <c r="C15">
        <v>5</v>
      </c>
      <c r="D15" t="s">
        <v>825</v>
      </c>
      <c r="E15">
        <v>1</v>
      </c>
      <c r="F15" t="s">
        <v>838</v>
      </c>
      <c r="G15" t="str">
        <f>Tabla3[[#This Row],[IDCatPrin]]&amp;Tabla3[[#This Row],[IDSubCat]]&amp;Tabla3[[#This Row],[Iddetalle]]</f>
        <v>1051</v>
      </c>
      <c r="H15">
        <f>VLOOKUP(Tabla3[[#This Row],[Subcategoria]],$D$374:$E$493,2,0)</f>
        <v>5</v>
      </c>
      <c r="J15">
        <v>5</v>
      </c>
      <c r="K15">
        <v>1</v>
      </c>
      <c r="L15" t="s">
        <v>838</v>
      </c>
    </row>
    <row r="16" spans="1:12" x14ac:dyDescent="0.2">
      <c r="A16">
        <v>10</v>
      </c>
      <c r="B16" t="s">
        <v>840</v>
      </c>
      <c r="C16">
        <v>5</v>
      </c>
      <c r="D16" t="s">
        <v>825</v>
      </c>
      <c r="E16">
        <v>2</v>
      </c>
      <c r="F16" t="s">
        <v>839</v>
      </c>
      <c r="G16" t="str">
        <f>Tabla3[[#This Row],[IDCatPrin]]&amp;Tabla3[[#This Row],[IDSubCat]]&amp;Tabla3[[#This Row],[Iddetalle]]</f>
        <v>1052</v>
      </c>
      <c r="H16">
        <f>VLOOKUP(Tabla3[[#This Row],[Subcategoria]],$D$374:$E$493,2,0)</f>
        <v>5</v>
      </c>
      <c r="J16">
        <v>5</v>
      </c>
      <c r="K16">
        <v>2</v>
      </c>
      <c r="L16" t="s">
        <v>839</v>
      </c>
    </row>
    <row r="17" spans="1:12" x14ac:dyDescent="0.2">
      <c r="A17">
        <v>13</v>
      </c>
      <c r="B17" t="s">
        <v>1163</v>
      </c>
      <c r="C17">
        <v>6</v>
      </c>
      <c r="D17" t="s">
        <v>1169</v>
      </c>
      <c r="E17">
        <v>1</v>
      </c>
      <c r="G17" t="str">
        <f>Tabla3[[#This Row],[IDCatPrin]]&amp;Tabla3[[#This Row],[IDSubCat]]&amp;Tabla3[[#This Row],[Iddetalle]]</f>
        <v>1361</v>
      </c>
      <c r="H17">
        <f>VLOOKUP(Tabla3[[#This Row],[Subcategoria]],$D$374:$E$493,2,0)</f>
        <v>6</v>
      </c>
      <c r="J17">
        <v>6</v>
      </c>
      <c r="K17">
        <v>1</v>
      </c>
      <c r="L17" t="s">
        <v>1216</v>
      </c>
    </row>
    <row r="18" spans="1:12" x14ac:dyDescent="0.2">
      <c r="A18">
        <v>13</v>
      </c>
      <c r="B18" t="s">
        <v>1163</v>
      </c>
      <c r="C18">
        <v>7</v>
      </c>
      <c r="D18" t="s">
        <v>1167</v>
      </c>
      <c r="E18">
        <v>1</v>
      </c>
      <c r="G18" t="str">
        <f>Tabla3[[#This Row],[IDCatPrin]]&amp;Tabla3[[#This Row],[IDSubCat]]&amp;Tabla3[[#This Row],[Iddetalle]]</f>
        <v>1371</v>
      </c>
      <c r="H18">
        <f>VLOOKUP(Tabla3[[#This Row],[Subcategoria]],$D$374:$E$493,2,0)</f>
        <v>7</v>
      </c>
      <c r="J18">
        <v>7</v>
      </c>
      <c r="K18">
        <v>1</v>
      </c>
      <c r="L18" t="s">
        <v>1216</v>
      </c>
    </row>
    <row r="19" spans="1:12" x14ac:dyDescent="0.2">
      <c r="A19">
        <v>13</v>
      </c>
      <c r="B19" t="s">
        <v>1163</v>
      </c>
      <c r="C19">
        <v>8</v>
      </c>
      <c r="D19" t="s">
        <v>1165</v>
      </c>
      <c r="E19">
        <v>1</v>
      </c>
      <c r="G19" t="str">
        <f>Tabla3[[#This Row],[IDCatPrin]]&amp;Tabla3[[#This Row],[IDSubCat]]&amp;Tabla3[[#This Row],[Iddetalle]]</f>
        <v>1381</v>
      </c>
      <c r="H19">
        <f>VLOOKUP(Tabla3[[#This Row],[Subcategoria]],$D$374:$E$493,2,0)</f>
        <v>8</v>
      </c>
      <c r="J19">
        <v>8</v>
      </c>
      <c r="K19">
        <v>1</v>
      </c>
      <c r="L19" t="s">
        <v>1216</v>
      </c>
    </row>
    <row r="20" spans="1:12" x14ac:dyDescent="0.2">
      <c r="A20">
        <v>13</v>
      </c>
      <c r="B20" t="s">
        <v>1163</v>
      </c>
      <c r="C20">
        <v>9</v>
      </c>
      <c r="D20" t="s">
        <v>1164</v>
      </c>
      <c r="E20">
        <v>1</v>
      </c>
      <c r="G20" t="str">
        <f>Tabla3[[#This Row],[IDCatPrin]]&amp;Tabla3[[#This Row],[IDSubCat]]&amp;Tabla3[[#This Row],[Iddetalle]]</f>
        <v>1391</v>
      </c>
      <c r="H20">
        <f>VLOOKUP(Tabla3[[#This Row],[Subcategoria]],$D$374:$E$493,2,0)</f>
        <v>9</v>
      </c>
      <c r="J20">
        <v>9</v>
      </c>
      <c r="K20">
        <v>1</v>
      </c>
      <c r="L20" t="s">
        <v>1216</v>
      </c>
    </row>
    <row r="21" spans="1:12" x14ac:dyDescent="0.2">
      <c r="A21">
        <v>13</v>
      </c>
      <c r="B21" t="s">
        <v>1163</v>
      </c>
      <c r="C21">
        <v>10</v>
      </c>
      <c r="D21" t="s">
        <v>1172</v>
      </c>
      <c r="E21">
        <v>1</v>
      </c>
      <c r="G21" t="str">
        <f>Tabla3[[#This Row],[IDCatPrin]]&amp;Tabla3[[#This Row],[IDSubCat]]&amp;Tabla3[[#This Row],[Iddetalle]]</f>
        <v>13101</v>
      </c>
      <c r="H21">
        <f>VLOOKUP(Tabla3[[#This Row],[Subcategoria]],$D$374:$E$493,2,0)</f>
        <v>10</v>
      </c>
      <c r="J21">
        <v>10</v>
      </c>
      <c r="K21">
        <v>1</v>
      </c>
      <c r="L21" t="s">
        <v>1216</v>
      </c>
    </row>
    <row r="22" spans="1:12" x14ac:dyDescent="0.2">
      <c r="A22">
        <v>1</v>
      </c>
      <c r="B22" t="s">
        <v>713</v>
      </c>
      <c r="C22">
        <v>11</v>
      </c>
      <c r="D22" t="s">
        <v>729</v>
      </c>
      <c r="E22">
        <v>1</v>
      </c>
      <c r="F22" t="s">
        <v>808</v>
      </c>
      <c r="G22" t="str">
        <f>Tabla3[[#This Row],[IDCatPrin]]&amp;Tabla3[[#This Row],[IDSubCat]]&amp;Tabla3[[#This Row],[Iddetalle]]</f>
        <v>1111</v>
      </c>
      <c r="H22">
        <f>VLOOKUP(Tabla3[[#This Row],[Subcategoria]],$D$374:$E$493,2,0)</f>
        <v>11</v>
      </c>
      <c r="J22">
        <v>11</v>
      </c>
      <c r="K22">
        <v>1</v>
      </c>
      <c r="L22" t="s">
        <v>808</v>
      </c>
    </row>
    <row r="23" spans="1:12" x14ac:dyDescent="0.2">
      <c r="A23">
        <v>1</v>
      </c>
      <c r="B23" t="s">
        <v>713</v>
      </c>
      <c r="C23">
        <v>11</v>
      </c>
      <c r="D23" t="s">
        <v>729</v>
      </c>
      <c r="E23">
        <v>2</v>
      </c>
      <c r="F23" t="s">
        <v>809</v>
      </c>
      <c r="G23" t="str">
        <f>Tabla3[[#This Row],[IDCatPrin]]&amp;Tabla3[[#This Row],[IDSubCat]]&amp;Tabla3[[#This Row],[Iddetalle]]</f>
        <v>1112</v>
      </c>
      <c r="H23">
        <f>VLOOKUP(Tabla3[[#This Row],[Subcategoria]],$D$374:$E$493,2,0)</f>
        <v>11</v>
      </c>
      <c r="J23">
        <v>11</v>
      </c>
      <c r="K23">
        <v>2</v>
      </c>
      <c r="L23" t="s">
        <v>809</v>
      </c>
    </row>
    <row r="24" spans="1:12" x14ac:dyDescent="0.2">
      <c r="A24">
        <v>1</v>
      </c>
      <c r="B24" t="s">
        <v>713</v>
      </c>
      <c r="C24">
        <v>11</v>
      </c>
      <c r="D24" t="s">
        <v>729</v>
      </c>
      <c r="E24">
        <v>3</v>
      </c>
      <c r="F24" t="s">
        <v>810</v>
      </c>
      <c r="G24" t="str">
        <f>Tabla3[[#This Row],[IDCatPrin]]&amp;Tabla3[[#This Row],[IDSubCat]]&amp;Tabla3[[#This Row],[Iddetalle]]</f>
        <v>1113</v>
      </c>
      <c r="H24">
        <f>VLOOKUP(Tabla3[[#This Row],[Subcategoria]],$D$374:$E$493,2,0)</f>
        <v>11</v>
      </c>
      <c r="J24">
        <v>11</v>
      </c>
      <c r="K24">
        <v>3</v>
      </c>
      <c r="L24" t="s">
        <v>810</v>
      </c>
    </row>
    <row r="25" spans="1:12" x14ac:dyDescent="0.2">
      <c r="A25">
        <v>1</v>
      </c>
      <c r="B25" t="s">
        <v>713</v>
      </c>
      <c r="C25">
        <v>11</v>
      </c>
      <c r="D25" t="s">
        <v>729</v>
      </c>
      <c r="E25">
        <v>4</v>
      </c>
      <c r="F25" t="s">
        <v>811</v>
      </c>
      <c r="G25" t="str">
        <f>Tabla3[[#This Row],[IDCatPrin]]&amp;Tabla3[[#This Row],[IDSubCat]]&amp;Tabla3[[#This Row],[Iddetalle]]</f>
        <v>1114</v>
      </c>
      <c r="H25">
        <f>VLOOKUP(Tabla3[[#This Row],[Subcategoria]],$D$374:$E$493,2,0)</f>
        <v>11</v>
      </c>
      <c r="J25">
        <v>11</v>
      </c>
      <c r="K25">
        <v>4</v>
      </c>
      <c r="L25" t="s">
        <v>811</v>
      </c>
    </row>
    <row r="26" spans="1:12" x14ac:dyDescent="0.2">
      <c r="A26">
        <v>7</v>
      </c>
      <c r="B26" t="s">
        <v>1138</v>
      </c>
      <c r="C26">
        <v>12</v>
      </c>
      <c r="D26" t="s">
        <v>1128</v>
      </c>
      <c r="E26">
        <v>1</v>
      </c>
      <c r="F26" t="s">
        <v>1147</v>
      </c>
      <c r="G26" t="str">
        <f>Tabla3[[#This Row],[IDCatPrin]]&amp;Tabla3[[#This Row],[IDSubCat]]&amp;Tabla3[[#This Row],[Iddetalle]]</f>
        <v>7121</v>
      </c>
      <c r="H26">
        <f>VLOOKUP(Tabla3[[#This Row],[Subcategoria]],$D$374:$E$493,2,0)</f>
        <v>12</v>
      </c>
      <c r="J26">
        <v>12</v>
      </c>
      <c r="K26">
        <v>1</v>
      </c>
      <c r="L26" t="s">
        <v>1147</v>
      </c>
    </row>
    <row r="27" spans="1:12" x14ac:dyDescent="0.2">
      <c r="A27">
        <v>7</v>
      </c>
      <c r="B27" t="s">
        <v>1138</v>
      </c>
      <c r="C27">
        <v>12</v>
      </c>
      <c r="D27" t="s">
        <v>1128</v>
      </c>
      <c r="E27">
        <v>2</v>
      </c>
      <c r="F27" t="s">
        <v>1148</v>
      </c>
      <c r="G27" t="str">
        <f>Tabla3[[#This Row],[IDCatPrin]]&amp;Tabla3[[#This Row],[IDSubCat]]&amp;Tabla3[[#This Row],[Iddetalle]]</f>
        <v>7122</v>
      </c>
      <c r="H27">
        <f>VLOOKUP(Tabla3[[#This Row],[Subcategoria]],$D$374:$E$493,2,0)</f>
        <v>12</v>
      </c>
      <c r="J27">
        <v>12</v>
      </c>
      <c r="K27">
        <v>2</v>
      </c>
      <c r="L27" t="s">
        <v>1148</v>
      </c>
    </row>
    <row r="28" spans="1:12" x14ac:dyDescent="0.2">
      <c r="A28">
        <v>7</v>
      </c>
      <c r="B28" t="s">
        <v>1138</v>
      </c>
      <c r="C28">
        <v>13</v>
      </c>
      <c r="D28" t="s">
        <v>1137</v>
      </c>
      <c r="E28">
        <v>1</v>
      </c>
      <c r="G28" t="str">
        <f>Tabla3[[#This Row],[IDCatPrin]]&amp;Tabla3[[#This Row],[IDSubCat]]&amp;Tabla3[[#This Row],[Iddetalle]]</f>
        <v>7131</v>
      </c>
      <c r="H28">
        <f>VLOOKUP(Tabla3[[#This Row],[Subcategoria]],$D$374:$E$493,2,0)</f>
        <v>13</v>
      </c>
      <c r="J28">
        <v>13</v>
      </c>
      <c r="K28">
        <v>1</v>
      </c>
      <c r="L28" t="s">
        <v>1216</v>
      </c>
    </row>
    <row r="29" spans="1:12" x14ac:dyDescent="0.2">
      <c r="A29">
        <v>7</v>
      </c>
      <c r="B29" t="s">
        <v>1138</v>
      </c>
      <c r="C29">
        <v>14</v>
      </c>
      <c r="D29" t="s">
        <v>1120</v>
      </c>
      <c r="E29">
        <v>1</v>
      </c>
      <c r="G29" t="str">
        <f>Tabla3[[#This Row],[IDCatPrin]]&amp;Tabla3[[#This Row],[IDSubCat]]&amp;Tabla3[[#This Row],[Iddetalle]]</f>
        <v>7141</v>
      </c>
      <c r="H29">
        <f>VLOOKUP(Tabla3[[#This Row],[Subcategoria]],$D$374:$E$493,2,0)</f>
        <v>14</v>
      </c>
      <c r="J29">
        <v>14</v>
      </c>
      <c r="K29">
        <v>1</v>
      </c>
      <c r="L29" t="s">
        <v>1216</v>
      </c>
    </row>
    <row r="30" spans="1:12" x14ac:dyDescent="0.2">
      <c r="A30">
        <v>7</v>
      </c>
      <c r="B30" t="s">
        <v>1138</v>
      </c>
      <c r="C30">
        <v>15</v>
      </c>
      <c r="D30" t="s">
        <v>1125</v>
      </c>
      <c r="E30">
        <v>1</v>
      </c>
      <c r="G30" t="str">
        <f>Tabla3[[#This Row],[IDCatPrin]]&amp;Tabla3[[#This Row],[IDSubCat]]&amp;Tabla3[[#This Row],[Iddetalle]]</f>
        <v>7151</v>
      </c>
      <c r="H30">
        <f>VLOOKUP(Tabla3[[#This Row],[Subcategoria]],$D$374:$E$493,2,0)</f>
        <v>15</v>
      </c>
      <c r="J30">
        <v>15</v>
      </c>
      <c r="K30">
        <v>1</v>
      </c>
      <c r="L30" t="s">
        <v>1216</v>
      </c>
    </row>
    <row r="31" spans="1:12" x14ac:dyDescent="0.2">
      <c r="A31">
        <v>7</v>
      </c>
      <c r="B31" t="s">
        <v>1138</v>
      </c>
      <c r="C31">
        <v>16</v>
      </c>
      <c r="D31" t="s">
        <v>1119</v>
      </c>
      <c r="E31">
        <v>1</v>
      </c>
      <c r="G31" t="str">
        <f>Tabla3[[#This Row],[IDCatPrin]]&amp;Tabla3[[#This Row],[IDSubCat]]&amp;Tabla3[[#This Row],[Iddetalle]]</f>
        <v>7161</v>
      </c>
      <c r="H31">
        <f>VLOOKUP(Tabla3[[#This Row],[Subcategoria]],$D$374:$E$493,2,0)</f>
        <v>16</v>
      </c>
      <c r="J31">
        <v>16</v>
      </c>
      <c r="K31">
        <v>1</v>
      </c>
      <c r="L31" t="s">
        <v>1216</v>
      </c>
    </row>
    <row r="32" spans="1:12" x14ac:dyDescent="0.2">
      <c r="A32">
        <v>13</v>
      </c>
      <c r="B32" t="s">
        <v>1163</v>
      </c>
      <c r="C32">
        <v>17</v>
      </c>
      <c r="D32" t="s">
        <v>1171</v>
      </c>
      <c r="E32">
        <v>1</v>
      </c>
      <c r="G32" t="str">
        <f>Tabla3[[#This Row],[IDCatPrin]]&amp;Tabla3[[#This Row],[IDSubCat]]&amp;Tabla3[[#This Row],[Iddetalle]]</f>
        <v>13171</v>
      </c>
      <c r="H32">
        <f>VLOOKUP(Tabla3[[#This Row],[Subcategoria]],$D$374:$E$493,2,0)</f>
        <v>17</v>
      </c>
      <c r="J32">
        <v>17</v>
      </c>
      <c r="K32">
        <v>1</v>
      </c>
      <c r="L32" t="s">
        <v>1216</v>
      </c>
    </row>
    <row r="33" spans="1:12" x14ac:dyDescent="0.2">
      <c r="A33">
        <v>12</v>
      </c>
      <c r="B33" t="s">
        <v>972</v>
      </c>
      <c r="C33">
        <v>18</v>
      </c>
      <c r="D33" t="s">
        <v>964</v>
      </c>
      <c r="E33">
        <v>1</v>
      </c>
      <c r="F33" t="s">
        <v>997</v>
      </c>
      <c r="G33" t="str">
        <f>Tabla3[[#This Row],[IDCatPrin]]&amp;Tabla3[[#This Row],[IDSubCat]]&amp;Tabla3[[#This Row],[Iddetalle]]</f>
        <v>12181</v>
      </c>
      <c r="H33">
        <f>VLOOKUP(Tabla3[[#This Row],[Subcategoria]],$D$374:$E$493,2,0)</f>
        <v>18</v>
      </c>
      <c r="J33">
        <v>18</v>
      </c>
      <c r="K33">
        <v>1</v>
      </c>
      <c r="L33" t="s">
        <v>997</v>
      </c>
    </row>
    <row r="34" spans="1:12" x14ac:dyDescent="0.2">
      <c r="A34">
        <v>12</v>
      </c>
      <c r="B34" t="s">
        <v>972</v>
      </c>
      <c r="C34">
        <v>18</v>
      </c>
      <c r="D34" t="s">
        <v>964</v>
      </c>
      <c r="E34">
        <v>2</v>
      </c>
      <c r="F34" t="s">
        <v>998</v>
      </c>
      <c r="G34" t="str">
        <f>Tabla3[[#This Row],[IDCatPrin]]&amp;Tabla3[[#This Row],[IDSubCat]]&amp;Tabla3[[#This Row],[Iddetalle]]</f>
        <v>12182</v>
      </c>
      <c r="H34">
        <f>VLOOKUP(Tabla3[[#This Row],[Subcategoria]],$D$374:$E$493,2,0)</f>
        <v>18</v>
      </c>
      <c r="J34">
        <v>18</v>
      </c>
      <c r="K34">
        <v>2</v>
      </c>
      <c r="L34" t="s">
        <v>998</v>
      </c>
    </row>
    <row r="35" spans="1:12" x14ac:dyDescent="0.2">
      <c r="A35">
        <v>1</v>
      </c>
      <c r="B35" t="s">
        <v>713</v>
      </c>
      <c r="C35">
        <v>19</v>
      </c>
      <c r="D35" t="s">
        <v>725</v>
      </c>
      <c r="E35">
        <v>1</v>
      </c>
      <c r="F35" t="s">
        <v>795</v>
      </c>
      <c r="G35" t="str">
        <f>Tabla3[[#This Row],[IDCatPrin]]&amp;Tabla3[[#This Row],[IDSubCat]]&amp;Tabla3[[#This Row],[Iddetalle]]</f>
        <v>1191</v>
      </c>
      <c r="H35">
        <f>VLOOKUP(Tabla3[[#This Row],[Subcategoria]],$D$374:$E$493,2,0)</f>
        <v>19</v>
      </c>
      <c r="J35">
        <v>19</v>
      </c>
      <c r="K35">
        <v>1</v>
      </c>
      <c r="L35" t="s">
        <v>795</v>
      </c>
    </row>
    <row r="36" spans="1:12" x14ac:dyDescent="0.2">
      <c r="A36">
        <v>1</v>
      </c>
      <c r="B36" t="s">
        <v>713</v>
      </c>
      <c r="C36">
        <v>19</v>
      </c>
      <c r="D36" t="s">
        <v>725</v>
      </c>
      <c r="E36">
        <v>2</v>
      </c>
      <c r="F36" t="s">
        <v>796</v>
      </c>
      <c r="G36" t="str">
        <f>Tabla3[[#This Row],[IDCatPrin]]&amp;Tabla3[[#This Row],[IDSubCat]]&amp;Tabla3[[#This Row],[Iddetalle]]</f>
        <v>1192</v>
      </c>
      <c r="H36">
        <f>VLOOKUP(Tabla3[[#This Row],[Subcategoria]],$D$374:$E$493,2,0)</f>
        <v>19</v>
      </c>
      <c r="J36">
        <v>19</v>
      </c>
      <c r="K36">
        <v>2</v>
      </c>
      <c r="L36" t="s">
        <v>796</v>
      </c>
    </row>
    <row r="37" spans="1:12" x14ac:dyDescent="0.2">
      <c r="A37">
        <v>1</v>
      </c>
      <c r="B37" t="s">
        <v>713</v>
      </c>
      <c r="C37">
        <v>19</v>
      </c>
      <c r="D37" t="s">
        <v>725</v>
      </c>
      <c r="E37">
        <v>3</v>
      </c>
      <c r="F37" t="s">
        <v>797</v>
      </c>
      <c r="G37" t="str">
        <f>Tabla3[[#This Row],[IDCatPrin]]&amp;Tabla3[[#This Row],[IDSubCat]]&amp;Tabla3[[#This Row],[Iddetalle]]</f>
        <v>1193</v>
      </c>
      <c r="H37">
        <f>VLOOKUP(Tabla3[[#This Row],[Subcategoria]],$D$374:$E$493,2,0)</f>
        <v>19</v>
      </c>
      <c r="J37">
        <v>19</v>
      </c>
      <c r="K37">
        <v>3</v>
      </c>
      <c r="L37" t="s">
        <v>797</v>
      </c>
    </row>
    <row r="38" spans="1:12" x14ac:dyDescent="0.2">
      <c r="A38">
        <v>1</v>
      </c>
      <c r="B38" t="s">
        <v>713</v>
      </c>
      <c r="C38">
        <v>19</v>
      </c>
      <c r="D38" t="s">
        <v>725</v>
      </c>
      <c r="E38">
        <v>4</v>
      </c>
      <c r="F38" t="s">
        <v>798</v>
      </c>
      <c r="G38" t="str">
        <f>Tabla3[[#This Row],[IDCatPrin]]&amp;Tabla3[[#This Row],[IDSubCat]]&amp;Tabla3[[#This Row],[Iddetalle]]</f>
        <v>1194</v>
      </c>
      <c r="H38">
        <f>VLOOKUP(Tabla3[[#This Row],[Subcategoria]],$D$374:$E$493,2,0)</f>
        <v>19</v>
      </c>
      <c r="J38">
        <v>19</v>
      </c>
      <c r="K38">
        <v>4</v>
      </c>
      <c r="L38" t="s">
        <v>798</v>
      </c>
    </row>
    <row r="39" spans="1:12" x14ac:dyDescent="0.2">
      <c r="A39">
        <v>3</v>
      </c>
      <c r="B39" t="s">
        <v>1008</v>
      </c>
      <c r="C39">
        <v>20</v>
      </c>
      <c r="D39" t="s">
        <v>1012</v>
      </c>
      <c r="E39">
        <v>1</v>
      </c>
      <c r="F39" t="s">
        <v>1037</v>
      </c>
      <c r="G39" t="str">
        <f>Tabla3[[#This Row],[IDCatPrin]]&amp;Tabla3[[#This Row],[IDSubCat]]&amp;Tabla3[[#This Row],[Iddetalle]]</f>
        <v>3201</v>
      </c>
      <c r="H39">
        <f>VLOOKUP(Tabla3[[#This Row],[Subcategoria]],$D$374:$E$493,2,0)</f>
        <v>20</v>
      </c>
      <c r="J39">
        <v>20</v>
      </c>
      <c r="K39">
        <v>1</v>
      </c>
      <c r="L39" t="s">
        <v>1037</v>
      </c>
    </row>
    <row r="40" spans="1:12" x14ac:dyDescent="0.2">
      <c r="A40">
        <v>3</v>
      </c>
      <c r="B40" t="s">
        <v>1008</v>
      </c>
      <c r="C40">
        <v>20</v>
      </c>
      <c r="D40" t="s">
        <v>1012</v>
      </c>
      <c r="E40">
        <v>2</v>
      </c>
      <c r="F40" t="s">
        <v>1038</v>
      </c>
      <c r="G40" t="str">
        <f>Tabla3[[#This Row],[IDCatPrin]]&amp;Tabla3[[#This Row],[IDSubCat]]&amp;Tabla3[[#This Row],[Iddetalle]]</f>
        <v>3202</v>
      </c>
      <c r="H40">
        <f>VLOOKUP(Tabla3[[#This Row],[Subcategoria]],$D$374:$E$493,2,0)</f>
        <v>20</v>
      </c>
      <c r="J40">
        <v>20</v>
      </c>
      <c r="K40">
        <v>2</v>
      </c>
      <c r="L40" t="s">
        <v>1038</v>
      </c>
    </row>
    <row r="41" spans="1:12" x14ac:dyDescent="0.2">
      <c r="A41">
        <v>3</v>
      </c>
      <c r="B41" t="s">
        <v>1008</v>
      </c>
      <c r="C41">
        <v>20</v>
      </c>
      <c r="D41" t="s">
        <v>1012</v>
      </c>
      <c r="E41">
        <v>3</v>
      </c>
      <c r="F41" t="s">
        <v>1039</v>
      </c>
      <c r="G41" t="str">
        <f>Tabla3[[#This Row],[IDCatPrin]]&amp;Tabla3[[#This Row],[IDSubCat]]&amp;Tabla3[[#This Row],[Iddetalle]]</f>
        <v>3203</v>
      </c>
      <c r="H41">
        <f>VLOOKUP(Tabla3[[#This Row],[Subcategoria]],$D$374:$E$493,2,0)</f>
        <v>20</v>
      </c>
      <c r="J41">
        <v>20</v>
      </c>
      <c r="K41">
        <v>3</v>
      </c>
      <c r="L41" t="s">
        <v>1039</v>
      </c>
    </row>
    <row r="42" spans="1:12" x14ac:dyDescent="0.2">
      <c r="A42">
        <v>3</v>
      </c>
      <c r="B42" t="s">
        <v>1008</v>
      </c>
      <c r="C42">
        <v>20</v>
      </c>
      <c r="D42" t="s">
        <v>1012</v>
      </c>
      <c r="E42">
        <v>4</v>
      </c>
      <c r="F42" t="s">
        <v>1040</v>
      </c>
      <c r="G42" t="str">
        <f>Tabla3[[#This Row],[IDCatPrin]]&amp;Tabla3[[#This Row],[IDSubCat]]&amp;Tabla3[[#This Row],[Iddetalle]]</f>
        <v>3204</v>
      </c>
      <c r="H42">
        <f>VLOOKUP(Tabla3[[#This Row],[Subcategoria]],$D$374:$E$493,2,0)</f>
        <v>20</v>
      </c>
      <c r="J42">
        <v>20</v>
      </c>
      <c r="K42">
        <v>4</v>
      </c>
      <c r="L42" t="s">
        <v>1040</v>
      </c>
    </row>
    <row r="43" spans="1:12" x14ac:dyDescent="0.2">
      <c r="A43">
        <v>3</v>
      </c>
      <c r="B43" t="s">
        <v>1008</v>
      </c>
      <c r="C43">
        <v>20</v>
      </c>
      <c r="D43" t="s">
        <v>1012</v>
      </c>
      <c r="E43">
        <v>5</v>
      </c>
      <c r="F43" t="s">
        <v>1041</v>
      </c>
      <c r="G43" t="str">
        <f>Tabla3[[#This Row],[IDCatPrin]]&amp;Tabla3[[#This Row],[IDSubCat]]&amp;Tabla3[[#This Row],[Iddetalle]]</f>
        <v>3205</v>
      </c>
      <c r="H43">
        <f>VLOOKUP(Tabla3[[#This Row],[Subcategoria]],$D$374:$E$493,2,0)</f>
        <v>20</v>
      </c>
      <c r="J43">
        <v>20</v>
      </c>
      <c r="K43">
        <v>5</v>
      </c>
      <c r="L43" t="s">
        <v>1041</v>
      </c>
    </row>
    <row r="44" spans="1:12" x14ac:dyDescent="0.2">
      <c r="A44">
        <v>3</v>
      </c>
      <c r="B44" t="s">
        <v>1008</v>
      </c>
      <c r="C44">
        <v>20</v>
      </c>
      <c r="D44" t="s">
        <v>1012</v>
      </c>
      <c r="E44">
        <v>6</v>
      </c>
      <c r="F44" t="s">
        <v>1042</v>
      </c>
      <c r="G44" t="str">
        <f>Tabla3[[#This Row],[IDCatPrin]]&amp;Tabla3[[#This Row],[IDSubCat]]&amp;Tabla3[[#This Row],[Iddetalle]]</f>
        <v>3206</v>
      </c>
      <c r="H44">
        <f>VLOOKUP(Tabla3[[#This Row],[Subcategoria]],$D$374:$E$493,2,0)</f>
        <v>20</v>
      </c>
      <c r="J44">
        <v>20</v>
      </c>
      <c r="K44">
        <v>6</v>
      </c>
      <c r="L44" t="s">
        <v>1042</v>
      </c>
    </row>
    <row r="45" spans="1:12" x14ac:dyDescent="0.2">
      <c r="A45">
        <v>7</v>
      </c>
      <c r="B45" t="s">
        <v>1138</v>
      </c>
      <c r="C45">
        <v>21</v>
      </c>
      <c r="D45" t="s">
        <v>1116</v>
      </c>
      <c r="E45">
        <v>1</v>
      </c>
      <c r="G45" t="str">
        <f>Tabla3[[#This Row],[IDCatPrin]]&amp;Tabla3[[#This Row],[IDSubCat]]&amp;Tabla3[[#This Row],[Iddetalle]]</f>
        <v>7211</v>
      </c>
      <c r="H45">
        <f>VLOOKUP(Tabla3[[#This Row],[Subcategoria]],$D$374:$E$493,2,0)</f>
        <v>21</v>
      </c>
      <c r="J45">
        <v>21</v>
      </c>
      <c r="K45">
        <v>1</v>
      </c>
      <c r="L45" t="s">
        <v>1216</v>
      </c>
    </row>
    <row r="46" spans="1:12" x14ac:dyDescent="0.2">
      <c r="A46">
        <v>1</v>
      </c>
      <c r="B46" t="s">
        <v>713</v>
      </c>
      <c r="C46">
        <v>22</v>
      </c>
      <c r="D46" t="s">
        <v>726</v>
      </c>
      <c r="E46">
        <v>1</v>
      </c>
      <c r="F46" t="s">
        <v>799</v>
      </c>
      <c r="G46" t="str">
        <f>Tabla3[[#This Row],[IDCatPrin]]&amp;Tabla3[[#This Row],[IDSubCat]]&amp;Tabla3[[#This Row],[Iddetalle]]</f>
        <v>1221</v>
      </c>
      <c r="H46">
        <f>VLOOKUP(Tabla3[[#This Row],[Subcategoria]],$D$374:$E$493,2,0)</f>
        <v>22</v>
      </c>
      <c r="J46">
        <v>22</v>
      </c>
      <c r="K46">
        <v>1</v>
      </c>
      <c r="L46" t="s">
        <v>799</v>
      </c>
    </row>
    <row r="47" spans="1:12" x14ac:dyDescent="0.2">
      <c r="A47">
        <v>1</v>
      </c>
      <c r="B47" t="s">
        <v>713</v>
      </c>
      <c r="C47">
        <v>22</v>
      </c>
      <c r="D47" t="s">
        <v>726</v>
      </c>
      <c r="E47">
        <v>2</v>
      </c>
      <c r="F47" t="s">
        <v>800</v>
      </c>
      <c r="G47" t="str">
        <f>Tabla3[[#This Row],[IDCatPrin]]&amp;Tabla3[[#This Row],[IDSubCat]]&amp;Tabla3[[#This Row],[Iddetalle]]</f>
        <v>1222</v>
      </c>
      <c r="H47">
        <f>VLOOKUP(Tabla3[[#This Row],[Subcategoria]],$D$374:$E$493,2,0)</f>
        <v>22</v>
      </c>
      <c r="J47">
        <v>22</v>
      </c>
      <c r="K47">
        <v>2</v>
      </c>
      <c r="L47" t="s">
        <v>800</v>
      </c>
    </row>
    <row r="48" spans="1:12" x14ac:dyDescent="0.2">
      <c r="A48">
        <v>1</v>
      </c>
      <c r="B48" t="s">
        <v>713</v>
      </c>
      <c r="C48">
        <v>22</v>
      </c>
      <c r="D48" t="s">
        <v>726</v>
      </c>
      <c r="E48">
        <v>3</v>
      </c>
      <c r="F48" t="s">
        <v>801</v>
      </c>
      <c r="G48" t="str">
        <f>Tabla3[[#This Row],[IDCatPrin]]&amp;Tabla3[[#This Row],[IDSubCat]]&amp;Tabla3[[#This Row],[Iddetalle]]</f>
        <v>1223</v>
      </c>
      <c r="H48">
        <f>VLOOKUP(Tabla3[[#This Row],[Subcategoria]],$D$374:$E$493,2,0)</f>
        <v>22</v>
      </c>
      <c r="J48">
        <v>22</v>
      </c>
      <c r="K48">
        <v>3</v>
      </c>
      <c r="L48" t="s">
        <v>801</v>
      </c>
    </row>
    <row r="49" spans="1:12" x14ac:dyDescent="0.2">
      <c r="A49">
        <v>1</v>
      </c>
      <c r="B49" t="s">
        <v>713</v>
      </c>
      <c r="C49">
        <v>22</v>
      </c>
      <c r="D49" t="s">
        <v>726</v>
      </c>
      <c r="E49">
        <v>4</v>
      </c>
      <c r="F49" t="s">
        <v>802</v>
      </c>
      <c r="G49" t="str">
        <f>Tabla3[[#This Row],[IDCatPrin]]&amp;Tabla3[[#This Row],[IDSubCat]]&amp;Tabla3[[#This Row],[Iddetalle]]</f>
        <v>1224</v>
      </c>
      <c r="H49">
        <f>VLOOKUP(Tabla3[[#This Row],[Subcategoria]],$D$374:$E$493,2,0)</f>
        <v>22</v>
      </c>
      <c r="J49">
        <v>22</v>
      </c>
      <c r="K49">
        <v>4</v>
      </c>
      <c r="L49" t="s">
        <v>802</v>
      </c>
    </row>
    <row r="50" spans="1:12" x14ac:dyDescent="0.2">
      <c r="A50">
        <v>7</v>
      </c>
      <c r="B50" t="s">
        <v>1138</v>
      </c>
      <c r="C50">
        <v>23</v>
      </c>
      <c r="D50" t="s">
        <v>1131</v>
      </c>
      <c r="E50">
        <v>1</v>
      </c>
      <c r="F50" t="s">
        <v>1153</v>
      </c>
      <c r="G50" t="str">
        <f>Tabla3[[#This Row],[IDCatPrin]]&amp;Tabla3[[#This Row],[IDSubCat]]&amp;Tabla3[[#This Row],[Iddetalle]]</f>
        <v>7231</v>
      </c>
      <c r="H50">
        <f>VLOOKUP(Tabla3[[#This Row],[Subcategoria]],$D$374:$E$493,2,0)</f>
        <v>23</v>
      </c>
      <c r="J50">
        <v>23</v>
      </c>
      <c r="K50">
        <v>1</v>
      </c>
      <c r="L50" t="s">
        <v>1153</v>
      </c>
    </row>
    <row r="51" spans="1:12" x14ac:dyDescent="0.2">
      <c r="A51">
        <v>7</v>
      </c>
      <c r="B51" t="s">
        <v>1138</v>
      </c>
      <c r="C51">
        <v>23</v>
      </c>
      <c r="D51" t="s">
        <v>1131</v>
      </c>
      <c r="E51">
        <v>2</v>
      </c>
      <c r="F51" t="s">
        <v>1154</v>
      </c>
      <c r="G51" t="str">
        <f>Tabla3[[#This Row],[IDCatPrin]]&amp;Tabla3[[#This Row],[IDSubCat]]&amp;Tabla3[[#This Row],[Iddetalle]]</f>
        <v>7232</v>
      </c>
      <c r="H51">
        <f>VLOOKUP(Tabla3[[#This Row],[Subcategoria]],$D$374:$E$493,2,0)</f>
        <v>23</v>
      </c>
      <c r="J51">
        <v>23</v>
      </c>
      <c r="K51">
        <v>2</v>
      </c>
      <c r="L51" t="s">
        <v>1154</v>
      </c>
    </row>
    <row r="52" spans="1:12" x14ac:dyDescent="0.2">
      <c r="A52">
        <v>7</v>
      </c>
      <c r="B52" t="s">
        <v>1138</v>
      </c>
      <c r="C52">
        <v>23</v>
      </c>
      <c r="D52" t="s">
        <v>1131</v>
      </c>
      <c r="E52">
        <v>3</v>
      </c>
      <c r="F52" t="s">
        <v>1155</v>
      </c>
      <c r="G52" t="str">
        <f>Tabla3[[#This Row],[IDCatPrin]]&amp;Tabla3[[#This Row],[IDSubCat]]&amp;Tabla3[[#This Row],[Iddetalle]]</f>
        <v>7233</v>
      </c>
      <c r="H52">
        <f>VLOOKUP(Tabla3[[#This Row],[Subcategoria]],$D$374:$E$493,2,0)</f>
        <v>23</v>
      </c>
      <c r="J52">
        <v>23</v>
      </c>
      <c r="K52">
        <v>3</v>
      </c>
      <c r="L52" t="s">
        <v>1155</v>
      </c>
    </row>
    <row r="53" spans="1:12" x14ac:dyDescent="0.2">
      <c r="A53">
        <v>7</v>
      </c>
      <c r="B53" t="s">
        <v>1138</v>
      </c>
      <c r="C53">
        <v>24</v>
      </c>
      <c r="D53" t="s">
        <v>1118</v>
      </c>
      <c r="E53">
        <v>1</v>
      </c>
      <c r="G53" t="str">
        <f>Tabla3[[#This Row],[IDCatPrin]]&amp;Tabla3[[#This Row],[IDSubCat]]&amp;Tabla3[[#This Row],[Iddetalle]]</f>
        <v>7241</v>
      </c>
      <c r="H53">
        <f>VLOOKUP(Tabla3[[#This Row],[Subcategoria]],$D$374:$E$493,2,0)</f>
        <v>24</v>
      </c>
      <c r="J53">
        <v>24</v>
      </c>
      <c r="K53">
        <v>1</v>
      </c>
      <c r="L53" t="s">
        <v>1216</v>
      </c>
    </row>
    <row r="54" spans="1:12" x14ac:dyDescent="0.2">
      <c r="A54">
        <v>10</v>
      </c>
      <c r="B54" t="s">
        <v>840</v>
      </c>
      <c r="C54">
        <v>25</v>
      </c>
      <c r="D54" t="s">
        <v>823</v>
      </c>
      <c r="E54">
        <v>1</v>
      </c>
      <c r="F54" t="s">
        <v>834</v>
      </c>
      <c r="G54" t="str">
        <f>Tabla3[[#This Row],[IDCatPrin]]&amp;Tabla3[[#This Row],[IDSubCat]]&amp;Tabla3[[#This Row],[Iddetalle]]</f>
        <v>10251</v>
      </c>
      <c r="H54">
        <f>VLOOKUP(Tabla3[[#This Row],[Subcategoria]],$D$374:$E$493,2,0)</f>
        <v>25</v>
      </c>
      <c r="J54">
        <v>25</v>
      </c>
      <c r="K54">
        <v>1</v>
      </c>
      <c r="L54" t="s">
        <v>834</v>
      </c>
    </row>
    <row r="55" spans="1:12" x14ac:dyDescent="0.2">
      <c r="A55">
        <v>10</v>
      </c>
      <c r="B55" t="s">
        <v>840</v>
      </c>
      <c r="C55">
        <v>25</v>
      </c>
      <c r="D55" t="s">
        <v>823</v>
      </c>
      <c r="E55">
        <v>2</v>
      </c>
      <c r="F55" t="s">
        <v>835</v>
      </c>
      <c r="G55" t="str">
        <f>Tabla3[[#This Row],[IDCatPrin]]&amp;Tabla3[[#This Row],[IDSubCat]]&amp;Tabla3[[#This Row],[Iddetalle]]</f>
        <v>10252</v>
      </c>
      <c r="H55">
        <f>VLOOKUP(Tabla3[[#This Row],[Subcategoria]],$D$374:$E$493,2,0)</f>
        <v>25</v>
      </c>
      <c r="J55">
        <v>25</v>
      </c>
      <c r="K55">
        <v>2</v>
      </c>
      <c r="L55" t="s">
        <v>835</v>
      </c>
    </row>
    <row r="56" spans="1:12" x14ac:dyDescent="0.2">
      <c r="A56">
        <v>1</v>
      </c>
      <c r="B56" t="s">
        <v>713</v>
      </c>
      <c r="C56">
        <v>26</v>
      </c>
      <c r="D56" t="s">
        <v>721</v>
      </c>
      <c r="E56">
        <v>1</v>
      </c>
      <c r="F56" t="s">
        <v>775</v>
      </c>
      <c r="G56" t="str">
        <f>Tabla3[[#This Row],[IDCatPrin]]&amp;Tabla3[[#This Row],[IDSubCat]]&amp;Tabla3[[#This Row],[Iddetalle]]</f>
        <v>1261</v>
      </c>
      <c r="H56">
        <f>VLOOKUP(Tabla3[[#This Row],[Subcategoria]],$D$374:$E$493,2,0)</f>
        <v>26</v>
      </c>
      <c r="J56">
        <v>26</v>
      </c>
      <c r="K56">
        <v>1</v>
      </c>
      <c r="L56" t="s">
        <v>775</v>
      </c>
    </row>
    <row r="57" spans="1:12" x14ac:dyDescent="0.2">
      <c r="A57">
        <v>1</v>
      </c>
      <c r="B57" t="s">
        <v>713</v>
      </c>
      <c r="C57">
        <v>26</v>
      </c>
      <c r="D57" t="s">
        <v>721</v>
      </c>
      <c r="E57">
        <v>2</v>
      </c>
      <c r="F57" t="s">
        <v>776</v>
      </c>
      <c r="G57" t="str">
        <f>Tabla3[[#This Row],[IDCatPrin]]&amp;Tabla3[[#This Row],[IDSubCat]]&amp;Tabla3[[#This Row],[Iddetalle]]</f>
        <v>1262</v>
      </c>
      <c r="H57">
        <f>VLOOKUP(Tabla3[[#This Row],[Subcategoria]],$D$374:$E$493,2,0)</f>
        <v>26</v>
      </c>
      <c r="J57">
        <v>26</v>
      </c>
      <c r="K57">
        <v>2</v>
      </c>
      <c r="L57" t="s">
        <v>776</v>
      </c>
    </row>
    <row r="58" spans="1:12" x14ac:dyDescent="0.2">
      <c r="A58">
        <v>1</v>
      </c>
      <c r="B58" t="s">
        <v>713</v>
      </c>
      <c r="C58">
        <v>26</v>
      </c>
      <c r="D58" t="s">
        <v>721</v>
      </c>
      <c r="E58">
        <v>3</v>
      </c>
      <c r="F58" t="s">
        <v>777</v>
      </c>
      <c r="G58" t="str">
        <f>Tabla3[[#This Row],[IDCatPrin]]&amp;Tabla3[[#This Row],[IDSubCat]]&amp;Tabla3[[#This Row],[Iddetalle]]</f>
        <v>1263</v>
      </c>
      <c r="H58">
        <f>VLOOKUP(Tabla3[[#This Row],[Subcategoria]],$D$374:$E$493,2,0)</f>
        <v>26</v>
      </c>
      <c r="J58">
        <v>26</v>
      </c>
      <c r="K58">
        <v>3</v>
      </c>
      <c r="L58" t="s">
        <v>777</v>
      </c>
    </row>
    <row r="59" spans="1:12" x14ac:dyDescent="0.2">
      <c r="A59">
        <v>1</v>
      </c>
      <c r="B59" t="s">
        <v>713</v>
      </c>
      <c r="C59">
        <v>26</v>
      </c>
      <c r="D59" t="s">
        <v>721</v>
      </c>
      <c r="E59">
        <v>4</v>
      </c>
      <c r="F59" t="s">
        <v>778</v>
      </c>
      <c r="G59" t="str">
        <f>Tabla3[[#This Row],[IDCatPrin]]&amp;Tabla3[[#This Row],[IDSubCat]]&amp;Tabla3[[#This Row],[Iddetalle]]</f>
        <v>1264</v>
      </c>
      <c r="H59">
        <f>VLOOKUP(Tabla3[[#This Row],[Subcategoria]],$D$374:$E$493,2,0)</f>
        <v>26</v>
      </c>
      <c r="J59">
        <v>26</v>
      </c>
      <c r="K59">
        <v>4</v>
      </c>
      <c r="L59" t="s">
        <v>778</v>
      </c>
    </row>
    <row r="60" spans="1:12" x14ac:dyDescent="0.2">
      <c r="A60">
        <v>1</v>
      </c>
      <c r="B60" t="s">
        <v>713</v>
      </c>
      <c r="C60">
        <v>26</v>
      </c>
      <c r="D60" t="s">
        <v>721</v>
      </c>
      <c r="E60">
        <v>5</v>
      </c>
      <c r="F60" t="s">
        <v>779</v>
      </c>
      <c r="G60" t="str">
        <f>Tabla3[[#This Row],[IDCatPrin]]&amp;Tabla3[[#This Row],[IDSubCat]]&amp;Tabla3[[#This Row],[Iddetalle]]</f>
        <v>1265</v>
      </c>
      <c r="H60">
        <f>VLOOKUP(Tabla3[[#This Row],[Subcategoria]],$D$374:$E$493,2,0)</f>
        <v>26</v>
      </c>
      <c r="J60">
        <v>26</v>
      </c>
      <c r="K60">
        <v>5</v>
      </c>
      <c r="L60" t="s">
        <v>779</v>
      </c>
    </row>
    <row r="61" spans="1:12" x14ac:dyDescent="0.2">
      <c r="A61">
        <v>1</v>
      </c>
      <c r="B61" t="s">
        <v>713</v>
      </c>
      <c r="C61">
        <v>26</v>
      </c>
      <c r="D61" t="s">
        <v>721</v>
      </c>
      <c r="E61">
        <v>6</v>
      </c>
      <c r="F61" t="s">
        <v>780</v>
      </c>
      <c r="G61" t="str">
        <f>Tabla3[[#This Row],[IDCatPrin]]&amp;Tabla3[[#This Row],[IDSubCat]]&amp;Tabla3[[#This Row],[Iddetalle]]</f>
        <v>1266</v>
      </c>
      <c r="H61">
        <f>VLOOKUP(Tabla3[[#This Row],[Subcategoria]],$D$374:$E$493,2,0)</f>
        <v>26</v>
      </c>
      <c r="J61">
        <v>26</v>
      </c>
      <c r="K61">
        <v>6</v>
      </c>
      <c r="L61" t="s">
        <v>780</v>
      </c>
    </row>
    <row r="62" spans="1:12" x14ac:dyDescent="0.2">
      <c r="A62">
        <v>7</v>
      </c>
      <c r="B62" t="s">
        <v>1138</v>
      </c>
      <c r="C62">
        <v>27</v>
      </c>
      <c r="D62" t="s">
        <v>1114</v>
      </c>
      <c r="E62">
        <v>1</v>
      </c>
      <c r="G62" t="str">
        <f>Tabla3[[#This Row],[IDCatPrin]]&amp;Tabla3[[#This Row],[IDSubCat]]&amp;Tabla3[[#This Row],[Iddetalle]]</f>
        <v>7271</v>
      </c>
      <c r="H62">
        <f>VLOOKUP(Tabla3[[#This Row],[Subcategoria]],$D$374:$E$493,2,0)</f>
        <v>27</v>
      </c>
      <c r="J62">
        <v>27</v>
      </c>
      <c r="K62">
        <v>1</v>
      </c>
      <c r="L62" t="s">
        <v>1216</v>
      </c>
    </row>
    <row r="63" spans="1:12" x14ac:dyDescent="0.2">
      <c r="A63">
        <v>6</v>
      </c>
      <c r="B63" t="s">
        <v>926</v>
      </c>
      <c r="C63">
        <v>28</v>
      </c>
      <c r="D63" t="s">
        <v>925</v>
      </c>
      <c r="E63">
        <v>1</v>
      </c>
      <c r="F63" t="s">
        <v>927</v>
      </c>
      <c r="G63" t="str">
        <f>Tabla3[[#This Row],[IDCatPrin]]&amp;Tabla3[[#This Row],[IDSubCat]]&amp;Tabla3[[#This Row],[Iddetalle]]</f>
        <v>6281</v>
      </c>
      <c r="H63">
        <f>VLOOKUP(Tabla3[[#This Row],[Subcategoria]],$D$374:$E$493,2,0)</f>
        <v>28</v>
      </c>
      <c r="J63">
        <v>28</v>
      </c>
      <c r="K63">
        <v>1</v>
      </c>
      <c r="L63" t="s">
        <v>927</v>
      </c>
    </row>
    <row r="64" spans="1:12" x14ac:dyDescent="0.2">
      <c r="A64">
        <v>6</v>
      </c>
      <c r="B64" t="s">
        <v>926</v>
      </c>
      <c r="C64">
        <v>28</v>
      </c>
      <c r="D64" t="s">
        <v>925</v>
      </c>
      <c r="E64">
        <v>2</v>
      </c>
      <c r="F64" t="s">
        <v>928</v>
      </c>
      <c r="G64" t="str">
        <f>Tabla3[[#This Row],[IDCatPrin]]&amp;Tabla3[[#This Row],[IDSubCat]]&amp;Tabla3[[#This Row],[Iddetalle]]</f>
        <v>6282</v>
      </c>
      <c r="H64">
        <f>VLOOKUP(Tabla3[[#This Row],[Subcategoria]],$D$374:$E$493,2,0)</f>
        <v>28</v>
      </c>
      <c r="J64">
        <v>28</v>
      </c>
      <c r="K64">
        <v>2</v>
      </c>
      <c r="L64" t="s">
        <v>928</v>
      </c>
    </row>
    <row r="65" spans="1:12" x14ac:dyDescent="0.2">
      <c r="A65">
        <v>6</v>
      </c>
      <c r="B65" t="s">
        <v>926</v>
      </c>
      <c r="C65">
        <v>28</v>
      </c>
      <c r="D65" t="s">
        <v>925</v>
      </c>
      <c r="E65">
        <v>3</v>
      </c>
      <c r="F65" t="s">
        <v>929</v>
      </c>
      <c r="G65" t="str">
        <f>Tabla3[[#This Row],[IDCatPrin]]&amp;Tabla3[[#This Row],[IDSubCat]]&amp;Tabla3[[#This Row],[Iddetalle]]</f>
        <v>6283</v>
      </c>
      <c r="H65">
        <f>VLOOKUP(Tabla3[[#This Row],[Subcategoria]],$D$374:$E$493,2,0)</f>
        <v>28</v>
      </c>
      <c r="J65">
        <v>28</v>
      </c>
      <c r="K65">
        <v>3</v>
      </c>
      <c r="L65" t="s">
        <v>929</v>
      </c>
    </row>
    <row r="66" spans="1:12" x14ac:dyDescent="0.2">
      <c r="A66">
        <v>6</v>
      </c>
      <c r="B66" t="s">
        <v>926</v>
      </c>
      <c r="C66">
        <v>28</v>
      </c>
      <c r="D66" t="s">
        <v>925</v>
      </c>
      <c r="E66">
        <v>4</v>
      </c>
      <c r="F66" t="s">
        <v>930</v>
      </c>
      <c r="G66" t="str">
        <f>Tabla3[[#This Row],[IDCatPrin]]&amp;Tabla3[[#This Row],[IDSubCat]]&amp;Tabla3[[#This Row],[Iddetalle]]</f>
        <v>6284</v>
      </c>
      <c r="H66">
        <f>VLOOKUP(Tabla3[[#This Row],[Subcategoria]],$D$374:$E$493,2,0)</f>
        <v>28</v>
      </c>
      <c r="J66">
        <v>28</v>
      </c>
      <c r="K66">
        <v>4</v>
      </c>
      <c r="L66" t="s">
        <v>930</v>
      </c>
    </row>
    <row r="67" spans="1:12" x14ac:dyDescent="0.2">
      <c r="A67">
        <v>6</v>
      </c>
      <c r="B67" t="s">
        <v>926</v>
      </c>
      <c r="C67">
        <v>28</v>
      </c>
      <c r="D67" t="s">
        <v>925</v>
      </c>
      <c r="E67">
        <v>5</v>
      </c>
      <c r="F67" t="s">
        <v>931</v>
      </c>
      <c r="G67" t="str">
        <f>Tabla3[[#This Row],[IDCatPrin]]&amp;Tabla3[[#This Row],[IDSubCat]]&amp;Tabla3[[#This Row],[Iddetalle]]</f>
        <v>6285</v>
      </c>
      <c r="H67">
        <f>VLOOKUP(Tabla3[[#This Row],[Subcategoria]],$D$374:$E$493,2,0)</f>
        <v>28</v>
      </c>
      <c r="J67">
        <v>28</v>
      </c>
      <c r="K67">
        <v>5</v>
      </c>
      <c r="L67" t="s">
        <v>931</v>
      </c>
    </row>
    <row r="68" spans="1:12" x14ac:dyDescent="0.2">
      <c r="A68">
        <v>6</v>
      </c>
      <c r="B68" t="s">
        <v>926</v>
      </c>
      <c r="C68">
        <v>28</v>
      </c>
      <c r="D68" t="s">
        <v>925</v>
      </c>
      <c r="E68">
        <v>6</v>
      </c>
      <c r="F68" t="s">
        <v>932</v>
      </c>
      <c r="G68" t="str">
        <f>Tabla3[[#This Row],[IDCatPrin]]&amp;Tabla3[[#This Row],[IDSubCat]]&amp;Tabla3[[#This Row],[Iddetalle]]</f>
        <v>6286</v>
      </c>
      <c r="H68">
        <f>VLOOKUP(Tabla3[[#This Row],[Subcategoria]],$D$374:$E$493,2,0)</f>
        <v>28</v>
      </c>
      <c r="J68">
        <v>28</v>
      </c>
      <c r="K68">
        <v>6</v>
      </c>
      <c r="L68" t="s">
        <v>932</v>
      </c>
    </row>
    <row r="69" spans="1:12" x14ac:dyDescent="0.2">
      <c r="A69">
        <v>6</v>
      </c>
      <c r="B69" t="s">
        <v>926</v>
      </c>
      <c r="C69">
        <v>28</v>
      </c>
      <c r="D69" t="s">
        <v>925</v>
      </c>
      <c r="E69">
        <v>7</v>
      </c>
      <c r="F69" t="s">
        <v>933</v>
      </c>
      <c r="G69" t="str">
        <f>Tabla3[[#This Row],[IDCatPrin]]&amp;Tabla3[[#This Row],[IDSubCat]]&amp;Tabla3[[#This Row],[Iddetalle]]</f>
        <v>6287</v>
      </c>
      <c r="H69">
        <f>VLOOKUP(Tabla3[[#This Row],[Subcategoria]],$D$374:$E$493,2,0)</f>
        <v>28</v>
      </c>
      <c r="J69">
        <v>28</v>
      </c>
      <c r="K69">
        <v>7</v>
      </c>
      <c r="L69" t="s">
        <v>933</v>
      </c>
    </row>
    <row r="70" spans="1:12" x14ac:dyDescent="0.2">
      <c r="A70">
        <v>4</v>
      </c>
      <c r="B70" t="s">
        <v>953</v>
      </c>
      <c r="C70">
        <v>29</v>
      </c>
      <c r="D70" t="s">
        <v>952</v>
      </c>
      <c r="E70">
        <v>1</v>
      </c>
      <c r="F70" t="s">
        <v>959</v>
      </c>
      <c r="G70" t="str">
        <f>Tabla3[[#This Row],[IDCatPrin]]&amp;Tabla3[[#This Row],[IDSubCat]]&amp;Tabla3[[#This Row],[Iddetalle]]</f>
        <v>4291</v>
      </c>
      <c r="H70">
        <f>VLOOKUP(Tabla3[[#This Row],[Subcategoria]],$D$374:$E$493,2,0)</f>
        <v>29</v>
      </c>
      <c r="J70">
        <v>29</v>
      </c>
      <c r="K70">
        <v>1</v>
      </c>
      <c r="L70" t="s">
        <v>959</v>
      </c>
    </row>
    <row r="71" spans="1:12" x14ac:dyDescent="0.2">
      <c r="A71">
        <v>1</v>
      </c>
      <c r="B71" t="s">
        <v>713</v>
      </c>
      <c r="C71">
        <v>30</v>
      </c>
      <c r="D71" t="s">
        <v>718</v>
      </c>
      <c r="E71">
        <v>1</v>
      </c>
      <c r="F71" t="s">
        <v>760</v>
      </c>
      <c r="G71" t="str">
        <f>Tabla3[[#This Row],[IDCatPrin]]&amp;Tabla3[[#This Row],[IDSubCat]]&amp;Tabla3[[#This Row],[Iddetalle]]</f>
        <v>1301</v>
      </c>
      <c r="H71">
        <f>VLOOKUP(Tabla3[[#This Row],[Subcategoria]],$D$374:$E$493,2,0)</f>
        <v>30</v>
      </c>
      <c r="J71">
        <v>30</v>
      </c>
      <c r="K71">
        <v>1</v>
      </c>
      <c r="L71" t="s">
        <v>760</v>
      </c>
    </row>
    <row r="72" spans="1:12" x14ac:dyDescent="0.2">
      <c r="A72">
        <v>1</v>
      </c>
      <c r="B72" t="s">
        <v>713</v>
      </c>
      <c r="C72">
        <v>30</v>
      </c>
      <c r="D72" t="s">
        <v>718</v>
      </c>
      <c r="E72">
        <v>2</v>
      </c>
      <c r="F72" t="s">
        <v>761</v>
      </c>
      <c r="G72" t="str">
        <f>Tabla3[[#This Row],[IDCatPrin]]&amp;Tabla3[[#This Row],[IDSubCat]]&amp;Tabla3[[#This Row],[Iddetalle]]</f>
        <v>1302</v>
      </c>
      <c r="H72">
        <f>VLOOKUP(Tabla3[[#This Row],[Subcategoria]],$D$374:$E$493,2,0)</f>
        <v>30</v>
      </c>
      <c r="J72">
        <v>30</v>
      </c>
      <c r="K72">
        <v>2</v>
      </c>
      <c r="L72" t="s">
        <v>761</v>
      </c>
    </row>
    <row r="73" spans="1:12" x14ac:dyDescent="0.2">
      <c r="A73">
        <v>1</v>
      </c>
      <c r="B73" t="s">
        <v>713</v>
      </c>
      <c r="C73">
        <v>30</v>
      </c>
      <c r="D73" t="s">
        <v>718</v>
      </c>
      <c r="E73">
        <v>3</v>
      </c>
      <c r="F73" t="s">
        <v>762</v>
      </c>
      <c r="G73" t="str">
        <f>Tabla3[[#This Row],[IDCatPrin]]&amp;Tabla3[[#This Row],[IDSubCat]]&amp;Tabla3[[#This Row],[Iddetalle]]</f>
        <v>1303</v>
      </c>
      <c r="H73">
        <f>VLOOKUP(Tabla3[[#This Row],[Subcategoria]],$D$374:$E$493,2,0)</f>
        <v>30</v>
      </c>
      <c r="J73">
        <v>30</v>
      </c>
      <c r="K73">
        <v>3</v>
      </c>
      <c r="L73" t="s">
        <v>762</v>
      </c>
    </row>
    <row r="74" spans="1:12" x14ac:dyDescent="0.2">
      <c r="A74">
        <v>1</v>
      </c>
      <c r="B74" t="s">
        <v>713</v>
      </c>
      <c r="C74">
        <v>30</v>
      </c>
      <c r="D74" t="s">
        <v>718</v>
      </c>
      <c r="E74">
        <v>4</v>
      </c>
      <c r="F74" t="s">
        <v>763</v>
      </c>
      <c r="G74" t="str">
        <f>Tabla3[[#This Row],[IDCatPrin]]&amp;Tabla3[[#This Row],[IDSubCat]]&amp;Tabla3[[#This Row],[Iddetalle]]</f>
        <v>1304</v>
      </c>
      <c r="H74">
        <f>VLOOKUP(Tabla3[[#This Row],[Subcategoria]],$D$374:$E$493,2,0)</f>
        <v>30</v>
      </c>
      <c r="J74">
        <v>30</v>
      </c>
      <c r="K74">
        <v>4</v>
      </c>
      <c r="L74" t="s">
        <v>763</v>
      </c>
    </row>
    <row r="75" spans="1:12" x14ac:dyDescent="0.2">
      <c r="A75">
        <v>5</v>
      </c>
      <c r="B75" t="s">
        <v>841</v>
      </c>
      <c r="C75">
        <v>31</v>
      </c>
      <c r="D75" t="s">
        <v>844</v>
      </c>
      <c r="E75">
        <v>1</v>
      </c>
      <c r="F75" t="s">
        <v>859</v>
      </c>
      <c r="G75" t="str">
        <f>Tabla3[[#This Row],[IDCatPrin]]&amp;Tabla3[[#This Row],[IDSubCat]]&amp;Tabla3[[#This Row],[Iddetalle]]</f>
        <v>5311</v>
      </c>
      <c r="H75">
        <f>VLOOKUP(Tabla3[[#This Row],[Subcategoria]],$D$374:$E$493,2,0)</f>
        <v>31</v>
      </c>
      <c r="J75">
        <v>31</v>
      </c>
      <c r="K75">
        <v>1</v>
      </c>
      <c r="L75" t="s">
        <v>859</v>
      </c>
    </row>
    <row r="76" spans="1:12" x14ac:dyDescent="0.2">
      <c r="A76">
        <v>7</v>
      </c>
      <c r="B76" t="s">
        <v>1138</v>
      </c>
      <c r="C76">
        <v>32</v>
      </c>
      <c r="D76" t="s">
        <v>1122</v>
      </c>
      <c r="E76">
        <v>1</v>
      </c>
      <c r="G76" t="str">
        <f>Tabla3[[#This Row],[IDCatPrin]]&amp;Tabla3[[#This Row],[IDSubCat]]&amp;Tabla3[[#This Row],[Iddetalle]]</f>
        <v>7321</v>
      </c>
      <c r="H76">
        <f>VLOOKUP(Tabla3[[#This Row],[Subcategoria]],$D$374:$E$493,2,0)</f>
        <v>32</v>
      </c>
      <c r="J76">
        <v>32</v>
      </c>
      <c r="K76">
        <v>1</v>
      </c>
      <c r="L76" t="s">
        <v>1216</v>
      </c>
    </row>
    <row r="77" spans="1:12" x14ac:dyDescent="0.2">
      <c r="A77">
        <v>12</v>
      </c>
      <c r="B77" t="s">
        <v>972</v>
      </c>
      <c r="C77">
        <v>33</v>
      </c>
      <c r="D77" t="s">
        <v>971</v>
      </c>
      <c r="E77">
        <v>1</v>
      </c>
      <c r="F77" t="s">
        <v>1007</v>
      </c>
      <c r="G77" t="str">
        <f>Tabla3[[#This Row],[IDCatPrin]]&amp;Tabla3[[#This Row],[IDSubCat]]&amp;Tabla3[[#This Row],[Iddetalle]]</f>
        <v>12331</v>
      </c>
      <c r="H77">
        <f>VLOOKUP(Tabla3[[#This Row],[Subcategoria]],$D$374:$E$493,2,0)</f>
        <v>33</v>
      </c>
      <c r="J77">
        <v>33</v>
      </c>
      <c r="K77">
        <v>1</v>
      </c>
      <c r="L77" t="s">
        <v>1007</v>
      </c>
    </row>
    <row r="78" spans="1:12" x14ac:dyDescent="0.2">
      <c r="A78">
        <v>2</v>
      </c>
      <c r="B78" t="s">
        <v>868</v>
      </c>
      <c r="C78">
        <v>34</v>
      </c>
      <c r="D78" t="s">
        <v>862</v>
      </c>
      <c r="E78">
        <v>1</v>
      </c>
      <c r="F78" t="s">
        <v>869</v>
      </c>
      <c r="G78" t="str">
        <f>Tabla3[[#This Row],[IDCatPrin]]&amp;Tabla3[[#This Row],[IDSubCat]]&amp;Tabla3[[#This Row],[Iddetalle]]</f>
        <v>2341</v>
      </c>
      <c r="H78">
        <f>VLOOKUP(Tabla3[[#This Row],[Subcategoria]],$D$374:$E$493,2,0)</f>
        <v>34</v>
      </c>
      <c r="J78">
        <v>34</v>
      </c>
      <c r="K78">
        <v>1</v>
      </c>
      <c r="L78" t="s">
        <v>869</v>
      </c>
    </row>
    <row r="79" spans="1:12" x14ac:dyDescent="0.2">
      <c r="A79">
        <v>2</v>
      </c>
      <c r="B79" t="s">
        <v>868</v>
      </c>
      <c r="C79">
        <v>34</v>
      </c>
      <c r="D79" t="s">
        <v>862</v>
      </c>
      <c r="E79">
        <v>2</v>
      </c>
      <c r="F79" t="s">
        <v>870</v>
      </c>
      <c r="G79" t="str">
        <f>Tabla3[[#This Row],[IDCatPrin]]&amp;Tabla3[[#This Row],[IDSubCat]]&amp;Tabla3[[#This Row],[Iddetalle]]</f>
        <v>2342</v>
      </c>
      <c r="H79">
        <f>VLOOKUP(Tabla3[[#This Row],[Subcategoria]],$D$374:$E$493,2,0)</f>
        <v>34</v>
      </c>
      <c r="J79">
        <v>34</v>
      </c>
      <c r="K79">
        <v>2</v>
      </c>
      <c r="L79" t="s">
        <v>870</v>
      </c>
    </row>
    <row r="80" spans="1:12" x14ac:dyDescent="0.2">
      <c r="A80">
        <v>2</v>
      </c>
      <c r="B80" t="s">
        <v>868</v>
      </c>
      <c r="C80">
        <v>34</v>
      </c>
      <c r="D80" t="s">
        <v>862</v>
      </c>
      <c r="E80">
        <v>3</v>
      </c>
      <c r="F80" t="s">
        <v>871</v>
      </c>
      <c r="G80" t="str">
        <f>Tabla3[[#This Row],[IDCatPrin]]&amp;Tabla3[[#This Row],[IDSubCat]]&amp;Tabla3[[#This Row],[Iddetalle]]</f>
        <v>2343</v>
      </c>
      <c r="H80">
        <f>VLOOKUP(Tabla3[[#This Row],[Subcategoria]],$D$374:$E$493,2,0)</f>
        <v>34</v>
      </c>
      <c r="J80">
        <v>34</v>
      </c>
      <c r="K80">
        <v>3</v>
      </c>
      <c r="L80" t="s">
        <v>871</v>
      </c>
    </row>
    <row r="81" spans="1:12" x14ac:dyDescent="0.2">
      <c r="A81">
        <v>2</v>
      </c>
      <c r="B81" t="s">
        <v>868</v>
      </c>
      <c r="C81">
        <v>34</v>
      </c>
      <c r="D81" t="s">
        <v>862</v>
      </c>
      <c r="E81">
        <v>4</v>
      </c>
      <c r="F81" t="s">
        <v>872</v>
      </c>
      <c r="G81" t="str">
        <f>Tabla3[[#This Row],[IDCatPrin]]&amp;Tabla3[[#This Row],[IDSubCat]]&amp;Tabla3[[#This Row],[Iddetalle]]</f>
        <v>2344</v>
      </c>
      <c r="H81">
        <f>VLOOKUP(Tabla3[[#This Row],[Subcategoria]],$D$374:$E$493,2,0)</f>
        <v>34</v>
      </c>
      <c r="J81">
        <v>34</v>
      </c>
      <c r="K81">
        <v>4</v>
      </c>
      <c r="L81" t="s">
        <v>872</v>
      </c>
    </row>
    <row r="82" spans="1:12" x14ac:dyDescent="0.2">
      <c r="A82">
        <v>2</v>
      </c>
      <c r="B82" t="s">
        <v>868</v>
      </c>
      <c r="C82">
        <v>34</v>
      </c>
      <c r="D82" t="s">
        <v>862</v>
      </c>
      <c r="E82">
        <v>5</v>
      </c>
      <c r="F82" t="s">
        <v>873</v>
      </c>
      <c r="G82" t="str">
        <f>Tabla3[[#This Row],[IDCatPrin]]&amp;Tabla3[[#This Row],[IDSubCat]]&amp;Tabla3[[#This Row],[Iddetalle]]</f>
        <v>2345</v>
      </c>
      <c r="H82">
        <f>VLOOKUP(Tabla3[[#This Row],[Subcategoria]],$D$374:$E$493,2,0)</f>
        <v>34</v>
      </c>
      <c r="J82">
        <v>34</v>
      </c>
      <c r="K82">
        <v>5</v>
      </c>
      <c r="L82" t="s">
        <v>873</v>
      </c>
    </row>
    <row r="83" spans="1:12" x14ac:dyDescent="0.2">
      <c r="A83">
        <v>3</v>
      </c>
      <c r="B83" t="s">
        <v>1008</v>
      </c>
      <c r="C83">
        <v>35</v>
      </c>
      <c r="D83" t="s">
        <v>1009</v>
      </c>
      <c r="E83">
        <v>1</v>
      </c>
      <c r="F83" t="s">
        <v>1015</v>
      </c>
      <c r="G83" t="str">
        <f>Tabla3[[#This Row],[IDCatPrin]]&amp;Tabla3[[#This Row],[IDSubCat]]&amp;Tabla3[[#This Row],[Iddetalle]]</f>
        <v>3351</v>
      </c>
      <c r="H83">
        <f>VLOOKUP(Tabla3[[#This Row],[Subcategoria]],$D$374:$E$493,2,0)</f>
        <v>35</v>
      </c>
      <c r="J83">
        <v>35</v>
      </c>
      <c r="K83">
        <v>1</v>
      </c>
      <c r="L83" t="s">
        <v>1015</v>
      </c>
    </row>
    <row r="84" spans="1:12" x14ac:dyDescent="0.2">
      <c r="A84">
        <v>3</v>
      </c>
      <c r="B84" t="s">
        <v>1008</v>
      </c>
      <c r="C84">
        <v>35</v>
      </c>
      <c r="D84" t="s">
        <v>1009</v>
      </c>
      <c r="E84">
        <v>2</v>
      </c>
      <c r="F84" t="s">
        <v>1016</v>
      </c>
      <c r="G84" t="str">
        <f>Tabla3[[#This Row],[IDCatPrin]]&amp;Tabla3[[#This Row],[IDSubCat]]&amp;Tabla3[[#This Row],[Iddetalle]]</f>
        <v>3352</v>
      </c>
      <c r="H84">
        <f>VLOOKUP(Tabla3[[#This Row],[Subcategoria]],$D$374:$E$493,2,0)</f>
        <v>35</v>
      </c>
      <c r="J84">
        <v>35</v>
      </c>
      <c r="K84">
        <v>2</v>
      </c>
      <c r="L84" t="s">
        <v>1016</v>
      </c>
    </row>
    <row r="85" spans="1:12" x14ac:dyDescent="0.2">
      <c r="A85">
        <v>3</v>
      </c>
      <c r="B85" t="s">
        <v>1008</v>
      </c>
      <c r="C85">
        <v>35</v>
      </c>
      <c r="D85" t="s">
        <v>1009</v>
      </c>
      <c r="E85">
        <v>3</v>
      </c>
      <c r="F85" t="s">
        <v>1017</v>
      </c>
      <c r="G85" t="str">
        <f>Tabla3[[#This Row],[IDCatPrin]]&amp;Tabla3[[#This Row],[IDSubCat]]&amp;Tabla3[[#This Row],[Iddetalle]]</f>
        <v>3353</v>
      </c>
      <c r="H85">
        <f>VLOOKUP(Tabla3[[#This Row],[Subcategoria]],$D$374:$E$493,2,0)</f>
        <v>35</v>
      </c>
      <c r="J85">
        <v>35</v>
      </c>
      <c r="K85">
        <v>3</v>
      </c>
      <c r="L85" t="s">
        <v>1017</v>
      </c>
    </row>
    <row r="86" spans="1:12" x14ac:dyDescent="0.2">
      <c r="A86">
        <v>3</v>
      </c>
      <c r="B86" t="s">
        <v>1008</v>
      </c>
      <c r="C86">
        <v>35</v>
      </c>
      <c r="D86" t="s">
        <v>1009</v>
      </c>
      <c r="E86">
        <v>4</v>
      </c>
      <c r="F86" t="s">
        <v>1018</v>
      </c>
      <c r="G86" t="str">
        <f>Tabla3[[#This Row],[IDCatPrin]]&amp;Tabla3[[#This Row],[IDSubCat]]&amp;Tabla3[[#This Row],[Iddetalle]]</f>
        <v>3354</v>
      </c>
      <c r="H86">
        <f>VLOOKUP(Tabla3[[#This Row],[Subcategoria]],$D$374:$E$493,2,0)</f>
        <v>35</v>
      </c>
      <c r="J86">
        <v>35</v>
      </c>
      <c r="K86">
        <v>4</v>
      </c>
      <c r="L86" t="s">
        <v>1018</v>
      </c>
    </row>
    <row r="87" spans="1:12" x14ac:dyDescent="0.2">
      <c r="A87">
        <v>3</v>
      </c>
      <c r="B87" t="s">
        <v>1008</v>
      </c>
      <c r="C87">
        <v>35</v>
      </c>
      <c r="D87" t="s">
        <v>1009</v>
      </c>
      <c r="E87">
        <v>5</v>
      </c>
      <c r="F87" t="s">
        <v>1019</v>
      </c>
      <c r="G87" t="str">
        <f>Tabla3[[#This Row],[IDCatPrin]]&amp;Tabla3[[#This Row],[IDSubCat]]&amp;Tabla3[[#This Row],[Iddetalle]]</f>
        <v>3355</v>
      </c>
      <c r="H87">
        <f>VLOOKUP(Tabla3[[#This Row],[Subcategoria]],$D$374:$E$493,2,0)</f>
        <v>35</v>
      </c>
      <c r="J87">
        <v>35</v>
      </c>
      <c r="K87">
        <v>5</v>
      </c>
      <c r="L87" t="s">
        <v>1019</v>
      </c>
    </row>
    <row r="88" spans="1:12" x14ac:dyDescent="0.2">
      <c r="A88">
        <v>3</v>
      </c>
      <c r="B88" t="s">
        <v>1008</v>
      </c>
      <c r="C88">
        <v>35</v>
      </c>
      <c r="D88" t="s">
        <v>1009</v>
      </c>
      <c r="E88">
        <v>6</v>
      </c>
      <c r="F88" t="s">
        <v>1020</v>
      </c>
      <c r="G88" t="str">
        <f>Tabla3[[#This Row],[IDCatPrin]]&amp;Tabla3[[#This Row],[IDSubCat]]&amp;Tabla3[[#This Row],[Iddetalle]]</f>
        <v>3356</v>
      </c>
      <c r="H88">
        <f>VLOOKUP(Tabla3[[#This Row],[Subcategoria]],$D$374:$E$493,2,0)</f>
        <v>35</v>
      </c>
      <c r="J88">
        <v>35</v>
      </c>
      <c r="K88">
        <v>6</v>
      </c>
      <c r="L88" t="s">
        <v>1020</v>
      </c>
    </row>
    <row r="89" spans="1:12" x14ac:dyDescent="0.2">
      <c r="A89">
        <v>3</v>
      </c>
      <c r="B89" t="s">
        <v>1008</v>
      </c>
      <c r="C89">
        <v>35</v>
      </c>
      <c r="D89" t="s">
        <v>1009</v>
      </c>
      <c r="E89">
        <v>7</v>
      </c>
      <c r="F89" t="s">
        <v>1021</v>
      </c>
      <c r="G89" t="str">
        <f>Tabla3[[#This Row],[IDCatPrin]]&amp;Tabla3[[#This Row],[IDSubCat]]&amp;Tabla3[[#This Row],[Iddetalle]]</f>
        <v>3357</v>
      </c>
      <c r="H89">
        <f>VLOOKUP(Tabla3[[#This Row],[Subcategoria]],$D$374:$E$493,2,0)</f>
        <v>35</v>
      </c>
      <c r="J89">
        <v>35</v>
      </c>
      <c r="K89">
        <v>7</v>
      </c>
      <c r="L89" t="s">
        <v>1021</v>
      </c>
    </row>
    <row r="90" spans="1:12" x14ac:dyDescent="0.2">
      <c r="A90">
        <v>3</v>
      </c>
      <c r="B90" t="s">
        <v>1008</v>
      </c>
      <c r="C90">
        <v>35</v>
      </c>
      <c r="D90" t="s">
        <v>1009</v>
      </c>
      <c r="E90">
        <v>8</v>
      </c>
      <c r="F90" t="s">
        <v>1022</v>
      </c>
      <c r="G90" t="str">
        <f>Tabla3[[#This Row],[IDCatPrin]]&amp;Tabla3[[#This Row],[IDSubCat]]&amp;Tabla3[[#This Row],[Iddetalle]]</f>
        <v>3358</v>
      </c>
      <c r="H90">
        <f>VLOOKUP(Tabla3[[#This Row],[Subcategoria]],$D$374:$E$493,2,0)</f>
        <v>35</v>
      </c>
      <c r="J90">
        <v>35</v>
      </c>
      <c r="K90">
        <v>8</v>
      </c>
      <c r="L90" t="s">
        <v>1022</v>
      </c>
    </row>
    <row r="91" spans="1:12" x14ac:dyDescent="0.2">
      <c r="A91">
        <v>3</v>
      </c>
      <c r="B91" t="s">
        <v>1008</v>
      </c>
      <c r="C91">
        <v>35</v>
      </c>
      <c r="D91" t="s">
        <v>1009</v>
      </c>
      <c r="E91">
        <v>9</v>
      </c>
      <c r="F91" t="s">
        <v>1023</v>
      </c>
      <c r="G91" t="str">
        <f>Tabla3[[#This Row],[IDCatPrin]]&amp;Tabla3[[#This Row],[IDSubCat]]&amp;Tabla3[[#This Row],[Iddetalle]]</f>
        <v>3359</v>
      </c>
      <c r="H91">
        <f>VLOOKUP(Tabla3[[#This Row],[Subcategoria]],$D$374:$E$493,2,0)</f>
        <v>35</v>
      </c>
      <c r="J91">
        <v>35</v>
      </c>
      <c r="K91">
        <v>9</v>
      </c>
      <c r="L91" t="s">
        <v>1023</v>
      </c>
    </row>
    <row r="92" spans="1:12" x14ac:dyDescent="0.2">
      <c r="A92">
        <v>14</v>
      </c>
      <c r="B92" t="s">
        <v>881</v>
      </c>
      <c r="C92">
        <v>36</v>
      </c>
      <c r="D92" t="s">
        <v>880</v>
      </c>
      <c r="E92">
        <v>1</v>
      </c>
      <c r="F92" t="s">
        <v>896</v>
      </c>
      <c r="G92" t="str">
        <f>Tabla3[[#This Row],[IDCatPrin]]&amp;Tabla3[[#This Row],[IDSubCat]]&amp;Tabla3[[#This Row],[Iddetalle]]</f>
        <v>14361</v>
      </c>
      <c r="H92">
        <f>VLOOKUP(Tabla3[[#This Row],[Subcategoria]],$D$374:$E$493,2,0)</f>
        <v>36</v>
      </c>
      <c r="J92">
        <v>36</v>
      </c>
      <c r="K92">
        <v>1</v>
      </c>
      <c r="L92" t="s">
        <v>896</v>
      </c>
    </row>
    <row r="93" spans="1:12" x14ac:dyDescent="0.2">
      <c r="A93">
        <v>14</v>
      </c>
      <c r="B93" t="s">
        <v>881</v>
      </c>
      <c r="C93">
        <v>36</v>
      </c>
      <c r="D93" t="s">
        <v>880</v>
      </c>
      <c r="E93">
        <v>2</v>
      </c>
      <c r="F93" t="s">
        <v>897</v>
      </c>
      <c r="G93" t="str">
        <f>Tabla3[[#This Row],[IDCatPrin]]&amp;Tabla3[[#This Row],[IDSubCat]]&amp;Tabla3[[#This Row],[Iddetalle]]</f>
        <v>14362</v>
      </c>
      <c r="H93">
        <f>VLOOKUP(Tabla3[[#This Row],[Subcategoria]],$D$374:$E$493,2,0)</f>
        <v>36</v>
      </c>
      <c r="J93">
        <v>36</v>
      </c>
      <c r="K93">
        <v>2</v>
      </c>
      <c r="L93" t="s">
        <v>897</v>
      </c>
    </row>
    <row r="94" spans="1:12" x14ac:dyDescent="0.2">
      <c r="A94">
        <v>5</v>
      </c>
      <c r="B94" t="s">
        <v>841</v>
      </c>
      <c r="C94">
        <v>37</v>
      </c>
      <c r="D94" t="s">
        <v>845</v>
      </c>
      <c r="E94">
        <v>1</v>
      </c>
      <c r="F94" t="s">
        <v>845</v>
      </c>
      <c r="G94" t="str">
        <f>Tabla3[[#This Row],[IDCatPrin]]&amp;Tabla3[[#This Row],[IDSubCat]]&amp;Tabla3[[#This Row],[Iddetalle]]</f>
        <v>5371</v>
      </c>
      <c r="H94">
        <f>VLOOKUP(Tabla3[[#This Row],[Subcategoria]],$D$374:$E$493,2,0)</f>
        <v>37</v>
      </c>
      <c r="J94">
        <v>37</v>
      </c>
      <c r="K94">
        <v>1</v>
      </c>
      <c r="L94" t="s">
        <v>845</v>
      </c>
    </row>
    <row r="95" spans="1:12" x14ac:dyDescent="0.2">
      <c r="A95">
        <v>9</v>
      </c>
      <c r="B95" t="s">
        <v>1047</v>
      </c>
      <c r="C95">
        <v>38</v>
      </c>
      <c r="D95" t="s">
        <v>1050</v>
      </c>
      <c r="E95">
        <v>1</v>
      </c>
      <c r="F95" t="s">
        <v>921</v>
      </c>
      <c r="G95" t="str">
        <f>Tabla3[[#This Row],[IDCatPrin]]&amp;Tabla3[[#This Row],[IDSubCat]]&amp;Tabla3[[#This Row],[Iddetalle]]</f>
        <v>9381</v>
      </c>
      <c r="H95">
        <f>VLOOKUP(Tabla3[[#This Row],[Subcategoria]],$D$374:$E$493,2,0)</f>
        <v>38</v>
      </c>
      <c r="J95">
        <v>38</v>
      </c>
      <c r="K95">
        <v>1</v>
      </c>
      <c r="L95" t="s">
        <v>921</v>
      </c>
    </row>
    <row r="96" spans="1:12" x14ac:dyDescent="0.2">
      <c r="A96">
        <v>9</v>
      </c>
      <c r="B96" t="s">
        <v>1047</v>
      </c>
      <c r="C96">
        <v>38</v>
      </c>
      <c r="D96" t="s">
        <v>1050</v>
      </c>
      <c r="E96">
        <v>2</v>
      </c>
      <c r="F96" t="s">
        <v>1078</v>
      </c>
      <c r="G96" t="str">
        <f>Tabla3[[#This Row],[IDCatPrin]]&amp;Tabla3[[#This Row],[IDSubCat]]&amp;Tabla3[[#This Row],[Iddetalle]]</f>
        <v>9382</v>
      </c>
      <c r="H96">
        <f>VLOOKUP(Tabla3[[#This Row],[Subcategoria]],$D$374:$E$493,2,0)</f>
        <v>38</v>
      </c>
      <c r="J96">
        <v>38</v>
      </c>
      <c r="K96">
        <v>2</v>
      </c>
      <c r="L96" t="s">
        <v>1078</v>
      </c>
    </row>
    <row r="97" spans="1:12" x14ac:dyDescent="0.2">
      <c r="A97">
        <v>9</v>
      </c>
      <c r="B97" t="s">
        <v>1047</v>
      </c>
      <c r="C97">
        <v>38</v>
      </c>
      <c r="D97" t="s">
        <v>1050</v>
      </c>
      <c r="E97">
        <v>3</v>
      </c>
      <c r="F97" t="s">
        <v>1079</v>
      </c>
      <c r="G97" t="str">
        <f>Tabla3[[#This Row],[IDCatPrin]]&amp;Tabla3[[#This Row],[IDSubCat]]&amp;Tabla3[[#This Row],[Iddetalle]]</f>
        <v>9383</v>
      </c>
      <c r="H97">
        <f>VLOOKUP(Tabla3[[#This Row],[Subcategoria]],$D$374:$E$493,2,0)</f>
        <v>38</v>
      </c>
      <c r="J97">
        <v>38</v>
      </c>
      <c r="K97">
        <v>3</v>
      </c>
      <c r="L97" t="s">
        <v>1079</v>
      </c>
    </row>
    <row r="98" spans="1:12" x14ac:dyDescent="0.2">
      <c r="A98">
        <v>9</v>
      </c>
      <c r="B98" t="s">
        <v>1047</v>
      </c>
      <c r="C98">
        <v>38</v>
      </c>
      <c r="D98" t="s">
        <v>1050</v>
      </c>
      <c r="E98">
        <v>4</v>
      </c>
      <c r="F98" t="s">
        <v>1080</v>
      </c>
      <c r="G98" t="str">
        <f>Tabla3[[#This Row],[IDCatPrin]]&amp;Tabla3[[#This Row],[IDSubCat]]&amp;Tabla3[[#This Row],[Iddetalle]]</f>
        <v>9384</v>
      </c>
      <c r="H98">
        <f>VLOOKUP(Tabla3[[#This Row],[Subcategoria]],$D$374:$E$493,2,0)</f>
        <v>38</v>
      </c>
      <c r="J98">
        <v>38</v>
      </c>
      <c r="K98">
        <v>4</v>
      </c>
      <c r="L98" t="s">
        <v>1080</v>
      </c>
    </row>
    <row r="99" spans="1:12" x14ac:dyDescent="0.2">
      <c r="A99">
        <v>9</v>
      </c>
      <c r="B99" t="s">
        <v>1047</v>
      </c>
      <c r="C99">
        <v>38</v>
      </c>
      <c r="D99" t="s">
        <v>1050</v>
      </c>
      <c r="E99">
        <v>5</v>
      </c>
      <c r="F99" t="s">
        <v>1081</v>
      </c>
      <c r="G99" t="str">
        <f>Tabla3[[#This Row],[IDCatPrin]]&amp;Tabla3[[#This Row],[IDSubCat]]&amp;Tabla3[[#This Row],[Iddetalle]]</f>
        <v>9385</v>
      </c>
      <c r="H99">
        <f>VLOOKUP(Tabla3[[#This Row],[Subcategoria]],$D$374:$E$493,2,0)</f>
        <v>38</v>
      </c>
      <c r="J99">
        <v>38</v>
      </c>
      <c r="K99">
        <v>5</v>
      </c>
      <c r="L99" t="s">
        <v>1081</v>
      </c>
    </row>
    <row r="100" spans="1:12" x14ac:dyDescent="0.2">
      <c r="A100">
        <v>9</v>
      </c>
      <c r="B100" t="s">
        <v>1047</v>
      </c>
      <c r="C100">
        <v>38</v>
      </c>
      <c r="D100" t="s">
        <v>1050</v>
      </c>
      <c r="E100">
        <v>6</v>
      </c>
      <c r="F100" t="s">
        <v>1082</v>
      </c>
      <c r="G100" t="str">
        <f>Tabla3[[#This Row],[IDCatPrin]]&amp;Tabla3[[#This Row],[IDSubCat]]&amp;Tabla3[[#This Row],[Iddetalle]]</f>
        <v>9386</v>
      </c>
      <c r="H100">
        <f>VLOOKUP(Tabla3[[#This Row],[Subcategoria]],$D$374:$E$493,2,0)</f>
        <v>38</v>
      </c>
      <c r="J100">
        <v>38</v>
      </c>
      <c r="K100">
        <v>6</v>
      </c>
      <c r="L100" t="s">
        <v>1082</v>
      </c>
    </row>
    <row r="101" spans="1:12" x14ac:dyDescent="0.2">
      <c r="A101">
        <v>9</v>
      </c>
      <c r="B101" t="s">
        <v>1047</v>
      </c>
      <c r="C101">
        <v>38</v>
      </c>
      <c r="D101" t="s">
        <v>1050</v>
      </c>
      <c r="E101">
        <v>7</v>
      </c>
      <c r="F101" t="s">
        <v>1083</v>
      </c>
      <c r="G101" t="str">
        <f>Tabla3[[#This Row],[IDCatPrin]]&amp;Tabla3[[#This Row],[IDSubCat]]&amp;Tabla3[[#This Row],[Iddetalle]]</f>
        <v>9387</v>
      </c>
      <c r="H101">
        <f>VLOOKUP(Tabla3[[#This Row],[Subcategoria]],$D$374:$E$493,2,0)</f>
        <v>38</v>
      </c>
      <c r="J101">
        <v>38</v>
      </c>
      <c r="K101">
        <v>7</v>
      </c>
      <c r="L101" t="s">
        <v>1083</v>
      </c>
    </row>
    <row r="102" spans="1:12" x14ac:dyDescent="0.2">
      <c r="A102">
        <v>9</v>
      </c>
      <c r="B102" t="s">
        <v>1047</v>
      </c>
      <c r="C102">
        <v>38</v>
      </c>
      <c r="D102" t="s">
        <v>1050</v>
      </c>
      <c r="E102">
        <v>8</v>
      </c>
      <c r="F102" t="s">
        <v>1084</v>
      </c>
      <c r="G102" t="str">
        <f>Tabla3[[#This Row],[IDCatPrin]]&amp;Tabla3[[#This Row],[IDSubCat]]&amp;Tabla3[[#This Row],[Iddetalle]]</f>
        <v>9388</v>
      </c>
      <c r="H102">
        <f>VLOOKUP(Tabla3[[#This Row],[Subcategoria]],$D$374:$E$493,2,0)</f>
        <v>38</v>
      </c>
      <c r="J102">
        <v>38</v>
      </c>
      <c r="K102">
        <v>8</v>
      </c>
      <c r="L102" t="s">
        <v>1084</v>
      </c>
    </row>
    <row r="103" spans="1:12" x14ac:dyDescent="0.2">
      <c r="A103">
        <v>9</v>
      </c>
      <c r="B103" t="s">
        <v>1047</v>
      </c>
      <c r="C103">
        <v>38</v>
      </c>
      <c r="D103" t="s">
        <v>1050</v>
      </c>
      <c r="E103">
        <v>9</v>
      </c>
      <c r="F103" t="s">
        <v>1085</v>
      </c>
      <c r="G103" t="str">
        <f>Tabla3[[#This Row],[IDCatPrin]]&amp;Tabla3[[#This Row],[IDSubCat]]&amp;Tabla3[[#This Row],[Iddetalle]]</f>
        <v>9389</v>
      </c>
      <c r="H103">
        <f>VLOOKUP(Tabla3[[#This Row],[Subcategoria]],$D$374:$E$493,2,0)</f>
        <v>38</v>
      </c>
      <c r="J103">
        <v>38</v>
      </c>
      <c r="K103">
        <v>9</v>
      </c>
      <c r="L103" t="s">
        <v>1085</v>
      </c>
    </row>
    <row r="104" spans="1:12" x14ac:dyDescent="0.2">
      <c r="A104">
        <v>9</v>
      </c>
      <c r="B104" t="s">
        <v>1047</v>
      </c>
      <c r="C104">
        <v>38</v>
      </c>
      <c r="D104" t="s">
        <v>1050</v>
      </c>
      <c r="E104">
        <v>10</v>
      </c>
      <c r="F104" t="s">
        <v>1086</v>
      </c>
      <c r="G104" t="str">
        <f>Tabla3[[#This Row],[IDCatPrin]]&amp;Tabla3[[#This Row],[IDSubCat]]&amp;Tabla3[[#This Row],[Iddetalle]]</f>
        <v>93810</v>
      </c>
      <c r="H104">
        <f>VLOOKUP(Tabla3[[#This Row],[Subcategoria]],$D$374:$E$493,2,0)</f>
        <v>38</v>
      </c>
      <c r="J104">
        <v>38</v>
      </c>
      <c r="K104">
        <v>10</v>
      </c>
      <c r="L104" t="s">
        <v>1086</v>
      </c>
    </row>
    <row r="105" spans="1:12" x14ac:dyDescent="0.2">
      <c r="A105">
        <v>11</v>
      </c>
      <c r="B105" t="s">
        <v>903</v>
      </c>
      <c r="C105">
        <v>39</v>
      </c>
      <c r="D105" t="s">
        <v>901</v>
      </c>
      <c r="E105">
        <v>1</v>
      </c>
      <c r="F105" t="s">
        <v>920</v>
      </c>
      <c r="G105" t="str">
        <f>Tabla3[[#This Row],[IDCatPrin]]&amp;Tabla3[[#This Row],[IDSubCat]]&amp;Tabla3[[#This Row],[Iddetalle]]</f>
        <v>11391</v>
      </c>
      <c r="H105">
        <f>VLOOKUP(Tabla3[[#This Row],[Subcategoria]],$D$374:$E$493,2,0)</f>
        <v>39</v>
      </c>
      <c r="J105">
        <v>39</v>
      </c>
      <c r="K105">
        <v>1</v>
      </c>
      <c r="L105" t="s">
        <v>920</v>
      </c>
    </row>
    <row r="106" spans="1:12" x14ac:dyDescent="0.2">
      <c r="A106">
        <v>9</v>
      </c>
      <c r="B106" t="s">
        <v>1047</v>
      </c>
      <c r="C106">
        <v>40</v>
      </c>
      <c r="D106" t="s">
        <v>1052</v>
      </c>
      <c r="E106">
        <v>6</v>
      </c>
      <c r="F106" t="s">
        <v>1092</v>
      </c>
      <c r="G106" t="str">
        <f>Tabla3[[#This Row],[IDCatPrin]]&amp;Tabla3[[#This Row],[IDSubCat]]&amp;Tabla3[[#This Row],[Iddetalle]]</f>
        <v>9406</v>
      </c>
      <c r="H106">
        <f>VLOOKUP(Tabla3[[#This Row],[Subcategoria]],$D$374:$E$493,2,0)</f>
        <v>40</v>
      </c>
      <c r="J106">
        <v>40</v>
      </c>
      <c r="K106">
        <v>6</v>
      </c>
      <c r="L106" t="s">
        <v>1092</v>
      </c>
    </row>
    <row r="107" spans="1:12" x14ac:dyDescent="0.2">
      <c r="A107">
        <v>9</v>
      </c>
      <c r="B107" t="s">
        <v>1047</v>
      </c>
      <c r="C107">
        <v>40</v>
      </c>
      <c r="D107" t="s">
        <v>1052</v>
      </c>
      <c r="E107">
        <v>7</v>
      </c>
      <c r="F107" t="s">
        <v>1093</v>
      </c>
      <c r="G107" t="str">
        <f>Tabla3[[#This Row],[IDCatPrin]]&amp;Tabla3[[#This Row],[IDSubCat]]&amp;Tabla3[[#This Row],[Iddetalle]]</f>
        <v>9407</v>
      </c>
      <c r="H107">
        <f>VLOOKUP(Tabla3[[#This Row],[Subcategoria]],$D$374:$E$493,2,0)</f>
        <v>40</v>
      </c>
      <c r="J107">
        <v>40</v>
      </c>
      <c r="K107">
        <v>7</v>
      </c>
      <c r="L107" t="s">
        <v>1093</v>
      </c>
    </row>
    <row r="108" spans="1:12" x14ac:dyDescent="0.2">
      <c r="A108">
        <v>9</v>
      </c>
      <c r="B108" t="s">
        <v>1047</v>
      </c>
      <c r="C108">
        <v>40</v>
      </c>
      <c r="D108" t="s">
        <v>1052</v>
      </c>
      <c r="E108">
        <v>8</v>
      </c>
      <c r="F108" t="s">
        <v>1094</v>
      </c>
      <c r="G108" t="str">
        <f>Tabla3[[#This Row],[IDCatPrin]]&amp;Tabla3[[#This Row],[IDSubCat]]&amp;Tabla3[[#This Row],[Iddetalle]]</f>
        <v>9408</v>
      </c>
      <c r="H108">
        <f>VLOOKUP(Tabla3[[#This Row],[Subcategoria]],$D$374:$E$493,2,0)</f>
        <v>40</v>
      </c>
      <c r="J108">
        <v>40</v>
      </c>
      <c r="K108">
        <v>8</v>
      </c>
      <c r="L108" t="s">
        <v>1094</v>
      </c>
    </row>
    <row r="109" spans="1:12" x14ac:dyDescent="0.2">
      <c r="A109">
        <v>9</v>
      </c>
      <c r="B109" t="s">
        <v>1047</v>
      </c>
      <c r="C109">
        <v>40</v>
      </c>
      <c r="D109" t="s">
        <v>1052</v>
      </c>
      <c r="E109">
        <v>9</v>
      </c>
      <c r="F109" t="s">
        <v>1095</v>
      </c>
      <c r="G109" t="str">
        <f>Tabla3[[#This Row],[IDCatPrin]]&amp;Tabla3[[#This Row],[IDSubCat]]&amp;Tabla3[[#This Row],[Iddetalle]]</f>
        <v>9409</v>
      </c>
      <c r="H109">
        <f>VLOOKUP(Tabla3[[#This Row],[Subcategoria]],$D$374:$E$493,2,0)</f>
        <v>40</v>
      </c>
      <c r="J109">
        <v>40</v>
      </c>
      <c r="K109">
        <v>9</v>
      </c>
      <c r="L109" t="s">
        <v>1095</v>
      </c>
    </row>
    <row r="110" spans="1:12" x14ac:dyDescent="0.2">
      <c r="A110">
        <v>9</v>
      </c>
      <c r="B110" t="s">
        <v>1047</v>
      </c>
      <c r="C110">
        <v>40</v>
      </c>
      <c r="D110" t="s">
        <v>1052</v>
      </c>
      <c r="E110">
        <v>10</v>
      </c>
      <c r="F110" t="s">
        <v>1096</v>
      </c>
      <c r="G110" t="str">
        <f>Tabla3[[#This Row],[IDCatPrin]]&amp;Tabla3[[#This Row],[IDSubCat]]&amp;Tabla3[[#This Row],[Iddetalle]]</f>
        <v>94010</v>
      </c>
      <c r="H110">
        <f>VLOOKUP(Tabla3[[#This Row],[Subcategoria]],$D$374:$E$493,2,0)</f>
        <v>40</v>
      </c>
      <c r="J110">
        <v>40</v>
      </c>
      <c r="K110">
        <v>10</v>
      </c>
      <c r="L110" t="s">
        <v>1096</v>
      </c>
    </row>
    <row r="111" spans="1:12" x14ac:dyDescent="0.2">
      <c r="A111">
        <v>7</v>
      </c>
      <c r="B111" t="s">
        <v>1138</v>
      </c>
      <c r="C111">
        <v>41</v>
      </c>
      <c r="D111" t="s">
        <v>1136</v>
      </c>
      <c r="E111">
        <v>1</v>
      </c>
      <c r="F111" t="s">
        <v>1161</v>
      </c>
      <c r="G111" t="str">
        <f>Tabla3[[#This Row],[IDCatPrin]]&amp;Tabla3[[#This Row],[IDSubCat]]&amp;Tabla3[[#This Row],[Iddetalle]]</f>
        <v>7411</v>
      </c>
      <c r="H111">
        <f>VLOOKUP(Tabla3[[#This Row],[Subcategoria]],$D$374:$E$493,2,0)</f>
        <v>41</v>
      </c>
      <c r="J111">
        <v>41</v>
      </c>
      <c r="K111">
        <v>1</v>
      </c>
      <c r="L111" t="s">
        <v>1161</v>
      </c>
    </row>
    <row r="112" spans="1:12" x14ac:dyDescent="0.2">
      <c r="A112">
        <v>7</v>
      </c>
      <c r="B112" t="s">
        <v>1138</v>
      </c>
      <c r="C112">
        <v>41</v>
      </c>
      <c r="D112" t="s">
        <v>1136</v>
      </c>
      <c r="E112">
        <v>2</v>
      </c>
      <c r="F112" t="s">
        <v>1162</v>
      </c>
      <c r="G112" t="str">
        <f>Tabla3[[#This Row],[IDCatPrin]]&amp;Tabla3[[#This Row],[IDSubCat]]&amp;Tabla3[[#This Row],[Iddetalle]]</f>
        <v>7412</v>
      </c>
      <c r="H112">
        <f>VLOOKUP(Tabla3[[#This Row],[Subcategoria]],$D$374:$E$493,2,0)</f>
        <v>41</v>
      </c>
      <c r="J112">
        <v>41</v>
      </c>
      <c r="K112">
        <v>2</v>
      </c>
      <c r="L112" t="s">
        <v>1162</v>
      </c>
    </row>
    <row r="113" spans="1:12" x14ac:dyDescent="0.2">
      <c r="A113">
        <v>9</v>
      </c>
      <c r="B113" t="s">
        <v>1047</v>
      </c>
      <c r="C113">
        <v>42</v>
      </c>
      <c r="D113" t="s">
        <v>1048</v>
      </c>
      <c r="E113">
        <v>1</v>
      </c>
      <c r="F113" t="s">
        <v>1059</v>
      </c>
      <c r="G113" t="str">
        <f>Tabla3[[#This Row],[IDCatPrin]]&amp;Tabla3[[#This Row],[IDSubCat]]&amp;Tabla3[[#This Row],[Iddetalle]]</f>
        <v>9421</v>
      </c>
      <c r="H113">
        <f>VLOOKUP(Tabla3[[#This Row],[Subcategoria]],$D$374:$E$493,2,0)</f>
        <v>42</v>
      </c>
      <c r="J113">
        <v>42</v>
      </c>
      <c r="K113">
        <v>1</v>
      </c>
      <c r="L113" t="s">
        <v>1059</v>
      </c>
    </row>
    <row r="114" spans="1:12" x14ac:dyDescent="0.2">
      <c r="A114">
        <v>9</v>
      </c>
      <c r="B114" t="s">
        <v>1047</v>
      </c>
      <c r="C114">
        <v>42</v>
      </c>
      <c r="D114" t="s">
        <v>1048</v>
      </c>
      <c r="E114">
        <v>2</v>
      </c>
      <c r="F114" t="s">
        <v>1060</v>
      </c>
      <c r="G114" t="str">
        <f>Tabla3[[#This Row],[IDCatPrin]]&amp;Tabla3[[#This Row],[IDSubCat]]&amp;Tabla3[[#This Row],[Iddetalle]]</f>
        <v>9422</v>
      </c>
      <c r="H114">
        <f>VLOOKUP(Tabla3[[#This Row],[Subcategoria]],$D$374:$E$493,2,0)</f>
        <v>42</v>
      </c>
      <c r="J114">
        <v>42</v>
      </c>
      <c r="K114">
        <v>2</v>
      </c>
      <c r="L114" t="s">
        <v>1060</v>
      </c>
    </row>
    <row r="115" spans="1:12" x14ac:dyDescent="0.2">
      <c r="A115">
        <v>9</v>
      </c>
      <c r="B115" t="s">
        <v>1047</v>
      </c>
      <c r="C115">
        <v>42</v>
      </c>
      <c r="D115" t="s">
        <v>1048</v>
      </c>
      <c r="E115">
        <v>3</v>
      </c>
      <c r="F115" t="s">
        <v>1061</v>
      </c>
      <c r="G115" t="str">
        <f>Tabla3[[#This Row],[IDCatPrin]]&amp;Tabla3[[#This Row],[IDSubCat]]&amp;Tabla3[[#This Row],[Iddetalle]]</f>
        <v>9423</v>
      </c>
      <c r="H115">
        <f>VLOOKUP(Tabla3[[#This Row],[Subcategoria]],$D$374:$E$493,2,0)</f>
        <v>42</v>
      </c>
      <c r="J115">
        <v>42</v>
      </c>
      <c r="K115">
        <v>3</v>
      </c>
      <c r="L115" t="s">
        <v>1061</v>
      </c>
    </row>
    <row r="116" spans="1:12" x14ac:dyDescent="0.2">
      <c r="A116">
        <v>9</v>
      </c>
      <c r="B116" t="s">
        <v>1047</v>
      </c>
      <c r="C116">
        <v>42</v>
      </c>
      <c r="D116" t="s">
        <v>1048</v>
      </c>
      <c r="E116">
        <v>4</v>
      </c>
      <c r="F116" t="s">
        <v>1062</v>
      </c>
      <c r="G116" t="str">
        <f>Tabla3[[#This Row],[IDCatPrin]]&amp;Tabla3[[#This Row],[IDSubCat]]&amp;Tabla3[[#This Row],[Iddetalle]]</f>
        <v>9424</v>
      </c>
      <c r="H116">
        <f>VLOOKUP(Tabla3[[#This Row],[Subcategoria]],$D$374:$E$493,2,0)</f>
        <v>42</v>
      </c>
      <c r="J116">
        <v>42</v>
      </c>
      <c r="K116">
        <v>4</v>
      </c>
      <c r="L116" t="s">
        <v>1062</v>
      </c>
    </row>
    <row r="117" spans="1:12" x14ac:dyDescent="0.2">
      <c r="A117">
        <v>9</v>
      </c>
      <c r="B117" t="s">
        <v>1047</v>
      </c>
      <c r="C117">
        <v>42</v>
      </c>
      <c r="D117" t="s">
        <v>1048</v>
      </c>
      <c r="E117">
        <v>5</v>
      </c>
      <c r="F117" t="s">
        <v>1063</v>
      </c>
      <c r="G117" t="str">
        <f>Tabla3[[#This Row],[IDCatPrin]]&amp;Tabla3[[#This Row],[IDSubCat]]&amp;Tabla3[[#This Row],[Iddetalle]]</f>
        <v>9425</v>
      </c>
      <c r="H117">
        <f>VLOOKUP(Tabla3[[#This Row],[Subcategoria]],$D$374:$E$493,2,0)</f>
        <v>42</v>
      </c>
      <c r="J117">
        <v>42</v>
      </c>
      <c r="K117">
        <v>5</v>
      </c>
      <c r="L117" t="s">
        <v>1063</v>
      </c>
    </row>
    <row r="118" spans="1:12" x14ac:dyDescent="0.2">
      <c r="A118">
        <v>9</v>
      </c>
      <c r="B118" t="s">
        <v>1047</v>
      </c>
      <c r="C118">
        <v>42</v>
      </c>
      <c r="D118" t="s">
        <v>1048</v>
      </c>
      <c r="E118">
        <v>6</v>
      </c>
      <c r="F118" t="s">
        <v>1064</v>
      </c>
      <c r="G118" t="str">
        <f>Tabla3[[#This Row],[IDCatPrin]]&amp;Tabla3[[#This Row],[IDSubCat]]&amp;Tabla3[[#This Row],[Iddetalle]]</f>
        <v>9426</v>
      </c>
      <c r="H118">
        <f>VLOOKUP(Tabla3[[#This Row],[Subcategoria]],$D$374:$E$493,2,0)</f>
        <v>42</v>
      </c>
      <c r="J118">
        <v>42</v>
      </c>
      <c r="K118">
        <v>6</v>
      </c>
      <c r="L118" t="s">
        <v>1064</v>
      </c>
    </row>
    <row r="119" spans="1:12" x14ac:dyDescent="0.2">
      <c r="A119">
        <v>9</v>
      </c>
      <c r="B119" t="s">
        <v>1047</v>
      </c>
      <c r="C119">
        <v>42</v>
      </c>
      <c r="D119" t="s">
        <v>1048</v>
      </c>
      <c r="E119">
        <v>7</v>
      </c>
      <c r="F119" t="s">
        <v>1065</v>
      </c>
      <c r="G119" t="str">
        <f>Tabla3[[#This Row],[IDCatPrin]]&amp;Tabla3[[#This Row],[IDSubCat]]&amp;Tabla3[[#This Row],[Iddetalle]]</f>
        <v>9427</v>
      </c>
      <c r="H119">
        <f>VLOOKUP(Tabla3[[#This Row],[Subcategoria]],$D$374:$E$493,2,0)</f>
        <v>42</v>
      </c>
      <c r="J119">
        <v>42</v>
      </c>
      <c r="K119">
        <v>7</v>
      </c>
      <c r="L119" t="s">
        <v>1065</v>
      </c>
    </row>
    <row r="120" spans="1:12" x14ac:dyDescent="0.2">
      <c r="A120">
        <v>9</v>
      </c>
      <c r="B120" t="s">
        <v>1047</v>
      </c>
      <c r="C120">
        <v>42</v>
      </c>
      <c r="D120" t="s">
        <v>1048</v>
      </c>
      <c r="E120">
        <v>8</v>
      </c>
      <c r="F120" t="s">
        <v>1066</v>
      </c>
      <c r="G120" t="str">
        <f>Tabla3[[#This Row],[IDCatPrin]]&amp;Tabla3[[#This Row],[IDSubCat]]&amp;Tabla3[[#This Row],[Iddetalle]]</f>
        <v>9428</v>
      </c>
      <c r="H120">
        <f>VLOOKUP(Tabla3[[#This Row],[Subcategoria]],$D$374:$E$493,2,0)</f>
        <v>42</v>
      </c>
      <c r="J120">
        <v>42</v>
      </c>
      <c r="K120">
        <v>8</v>
      </c>
      <c r="L120" t="s">
        <v>1066</v>
      </c>
    </row>
    <row r="121" spans="1:12" x14ac:dyDescent="0.2">
      <c r="A121">
        <v>9</v>
      </c>
      <c r="B121" t="s">
        <v>1047</v>
      </c>
      <c r="C121">
        <v>42</v>
      </c>
      <c r="D121" t="s">
        <v>1048</v>
      </c>
      <c r="E121">
        <v>9</v>
      </c>
      <c r="F121" t="s">
        <v>1067</v>
      </c>
      <c r="G121" t="str">
        <f>Tabla3[[#This Row],[IDCatPrin]]&amp;Tabla3[[#This Row],[IDSubCat]]&amp;Tabla3[[#This Row],[Iddetalle]]</f>
        <v>9429</v>
      </c>
      <c r="H121">
        <f>VLOOKUP(Tabla3[[#This Row],[Subcategoria]],$D$374:$E$493,2,0)</f>
        <v>42</v>
      </c>
      <c r="J121">
        <v>42</v>
      </c>
      <c r="K121">
        <v>9</v>
      </c>
      <c r="L121" t="s">
        <v>1067</v>
      </c>
    </row>
    <row r="122" spans="1:12" x14ac:dyDescent="0.2">
      <c r="A122">
        <v>9</v>
      </c>
      <c r="B122" t="s">
        <v>1047</v>
      </c>
      <c r="C122">
        <v>42</v>
      </c>
      <c r="D122" t="s">
        <v>1048</v>
      </c>
      <c r="E122">
        <v>10</v>
      </c>
      <c r="F122" t="s">
        <v>1068</v>
      </c>
      <c r="G122" t="str">
        <f>Tabla3[[#This Row],[IDCatPrin]]&amp;Tabla3[[#This Row],[IDSubCat]]&amp;Tabla3[[#This Row],[Iddetalle]]</f>
        <v>94210</v>
      </c>
      <c r="H122">
        <f>VLOOKUP(Tabla3[[#This Row],[Subcategoria]],$D$374:$E$493,2,0)</f>
        <v>42</v>
      </c>
      <c r="J122">
        <v>42</v>
      </c>
      <c r="K122">
        <v>10</v>
      </c>
      <c r="L122" t="s">
        <v>1068</v>
      </c>
    </row>
    <row r="123" spans="1:12" x14ac:dyDescent="0.2">
      <c r="A123">
        <v>9</v>
      </c>
      <c r="B123" t="s">
        <v>1047</v>
      </c>
      <c r="C123">
        <v>43</v>
      </c>
      <c r="D123" t="s">
        <v>1051</v>
      </c>
      <c r="E123">
        <v>1</v>
      </c>
      <c r="F123" t="s">
        <v>1087</v>
      </c>
      <c r="G123" t="str">
        <f>Tabla3[[#This Row],[IDCatPrin]]&amp;Tabla3[[#This Row],[IDSubCat]]&amp;Tabla3[[#This Row],[Iddetalle]]</f>
        <v>9431</v>
      </c>
      <c r="H123">
        <f>VLOOKUP(Tabla3[[#This Row],[Subcategoria]],$D$374:$E$493,2,0)</f>
        <v>43</v>
      </c>
      <c r="J123">
        <v>43</v>
      </c>
      <c r="K123">
        <v>1</v>
      </c>
      <c r="L123" t="s">
        <v>1087</v>
      </c>
    </row>
    <row r="124" spans="1:12" x14ac:dyDescent="0.2">
      <c r="A124">
        <v>9</v>
      </c>
      <c r="B124" t="s">
        <v>1047</v>
      </c>
      <c r="C124">
        <v>43</v>
      </c>
      <c r="D124" t="s">
        <v>1051</v>
      </c>
      <c r="E124">
        <v>2</v>
      </c>
      <c r="F124" t="s">
        <v>1088</v>
      </c>
      <c r="G124" t="str">
        <f>Tabla3[[#This Row],[IDCatPrin]]&amp;Tabla3[[#This Row],[IDSubCat]]&amp;Tabla3[[#This Row],[Iddetalle]]</f>
        <v>9432</v>
      </c>
      <c r="H124">
        <f>VLOOKUP(Tabla3[[#This Row],[Subcategoria]],$D$374:$E$493,2,0)</f>
        <v>43</v>
      </c>
      <c r="J124">
        <v>43</v>
      </c>
      <c r="K124">
        <v>2</v>
      </c>
      <c r="L124" t="s">
        <v>1088</v>
      </c>
    </row>
    <row r="125" spans="1:12" x14ac:dyDescent="0.2">
      <c r="A125">
        <v>9</v>
      </c>
      <c r="B125" t="s">
        <v>1047</v>
      </c>
      <c r="C125">
        <v>43</v>
      </c>
      <c r="D125" t="s">
        <v>1051</v>
      </c>
      <c r="E125">
        <v>3</v>
      </c>
      <c r="F125" t="s">
        <v>1089</v>
      </c>
      <c r="G125" t="str">
        <f>Tabla3[[#This Row],[IDCatPrin]]&amp;Tabla3[[#This Row],[IDSubCat]]&amp;Tabla3[[#This Row],[Iddetalle]]</f>
        <v>9433</v>
      </c>
      <c r="H125">
        <f>VLOOKUP(Tabla3[[#This Row],[Subcategoria]],$D$374:$E$493,2,0)</f>
        <v>43</v>
      </c>
      <c r="J125">
        <v>43</v>
      </c>
      <c r="K125">
        <v>3</v>
      </c>
      <c r="L125" t="s">
        <v>1089</v>
      </c>
    </row>
    <row r="126" spans="1:12" x14ac:dyDescent="0.2">
      <c r="A126">
        <v>9</v>
      </c>
      <c r="B126" t="s">
        <v>1047</v>
      </c>
      <c r="C126">
        <v>43</v>
      </c>
      <c r="D126" t="s">
        <v>1051</v>
      </c>
      <c r="E126">
        <v>4</v>
      </c>
      <c r="F126" t="s">
        <v>1090</v>
      </c>
      <c r="G126" t="str">
        <f>Tabla3[[#This Row],[IDCatPrin]]&amp;Tabla3[[#This Row],[IDSubCat]]&amp;Tabla3[[#This Row],[Iddetalle]]</f>
        <v>9434</v>
      </c>
      <c r="H126">
        <f>VLOOKUP(Tabla3[[#This Row],[Subcategoria]],$D$374:$E$493,2,0)</f>
        <v>43</v>
      </c>
      <c r="J126">
        <v>43</v>
      </c>
      <c r="K126">
        <v>4</v>
      </c>
      <c r="L126" t="s">
        <v>1090</v>
      </c>
    </row>
    <row r="127" spans="1:12" x14ac:dyDescent="0.2">
      <c r="A127">
        <v>9</v>
      </c>
      <c r="B127" t="s">
        <v>1047</v>
      </c>
      <c r="C127">
        <v>43</v>
      </c>
      <c r="D127" t="s">
        <v>1051</v>
      </c>
      <c r="E127">
        <v>5</v>
      </c>
      <c r="F127" t="s">
        <v>1091</v>
      </c>
      <c r="G127" t="str">
        <f>Tabla3[[#This Row],[IDCatPrin]]&amp;Tabla3[[#This Row],[IDSubCat]]&amp;Tabla3[[#This Row],[Iddetalle]]</f>
        <v>9435</v>
      </c>
      <c r="H127">
        <f>VLOOKUP(Tabla3[[#This Row],[Subcategoria]],$D$374:$E$493,2,0)</f>
        <v>43</v>
      </c>
      <c r="J127">
        <v>43</v>
      </c>
      <c r="K127">
        <v>5</v>
      </c>
      <c r="L127" t="s">
        <v>1091</v>
      </c>
    </row>
    <row r="128" spans="1:12" x14ac:dyDescent="0.2">
      <c r="A128">
        <v>9</v>
      </c>
      <c r="B128" t="s">
        <v>1047</v>
      </c>
      <c r="C128">
        <v>44</v>
      </c>
      <c r="D128" t="s">
        <v>1053</v>
      </c>
      <c r="E128">
        <v>1</v>
      </c>
      <c r="F128" t="s">
        <v>1097</v>
      </c>
      <c r="G128" t="str">
        <f>Tabla3[[#This Row],[IDCatPrin]]&amp;Tabla3[[#This Row],[IDSubCat]]&amp;Tabla3[[#This Row],[Iddetalle]]</f>
        <v>9441</v>
      </c>
      <c r="H128">
        <f>VLOOKUP(Tabla3[[#This Row],[Subcategoria]],$D$374:$E$493,2,0)</f>
        <v>44</v>
      </c>
      <c r="J128">
        <v>44</v>
      </c>
      <c r="K128">
        <v>1</v>
      </c>
      <c r="L128" t="s">
        <v>1097</v>
      </c>
    </row>
    <row r="129" spans="1:12" x14ac:dyDescent="0.2">
      <c r="A129">
        <v>9</v>
      </c>
      <c r="B129" t="s">
        <v>1047</v>
      </c>
      <c r="C129">
        <v>44</v>
      </c>
      <c r="D129" t="s">
        <v>1053</v>
      </c>
      <c r="E129">
        <v>2</v>
      </c>
      <c r="F129" t="s">
        <v>1098</v>
      </c>
      <c r="G129" t="str">
        <f>Tabla3[[#This Row],[IDCatPrin]]&amp;Tabla3[[#This Row],[IDSubCat]]&amp;Tabla3[[#This Row],[Iddetalle]]</f>
        <v>9442</v>
      </c>
      <c r="H129">
        <f>VLOOKUP(Tabla3[[#This Row],[Subcategoria]],$D$374:$E$493,2,0)</f>
        <v>44</v>
      </c>
      <c r="J129">
        <v>44</v>
      </c>
      <c r="K129">
        <v>2</v>
      </c>
      <c r="L129" t="s">
        <v>1098</v>
      </c>
    </row>
    <row r="130" spans="1:12" x14ac:dyDescent="0.2">
      <c r="A130">
        <v>9</v>
      </c>
      <c r="B130" t="s">
        <v>1047</v>
      </c>
      <c r="C130">
        <v>45</v>
      </c>
      <c r="D130" t="s">
        <v>1057</v>
      </c>
      <c r="E130">
        <v>1</v>
      </c>
      <c r="F130" t="s">
        <v>1107</v>
      </c>
      <c r="G130" t="str">
        <f>Tabla3[[#This Row],[IDCatPrin]]&amp;Tabla3[[#This Row],[IDSubCat]]&amp;Tabla3[[#This Row],[Iddetalle]]</f>
        <v>9451</v>
      </c>
      <c r="H130">
        <f>VLOOKUP(Tabla3[[#This Row],[Subcategoria]],$D$374:$E$493,2,0)</f>
        <v>45</v>
      </c>
      <c r="J130">
        <v>45</v>
      </c>
      <c r="K130">
        <v>1</v>
      </c>
      <c r="L130" t="s">
        <v>1107</v>
      </c>
    </row>
    <row r="131" spans="1:12" x14ac:dyDescent="0.2">
      <c r="A131">
        <v>7</v>
      </c>
      <c r="B131" t="s">
        <v>1138</v>
      </c>
      <c r="C131">
        <v>46</v>
      </c>
      <c r="D131" t="s">
        <v>1123</v>
      </c>
      <c r="E131">
        <v>1</v>
      </c>
      <c r="F131" t="s">
        <v>1139</v>
      </c>
      <c r="G131" t="str">
        <f>Tabla3[[#This Row],[IDCatPrin]]&amp;Tabla3[[#This Row],[IDSubCat]]&amp;Tabla3[[#This Row],[Iddetalle]]</f>
        <v>7461</v>
      </c>
      <c r="H131">
        <f>VLOOKUP(Tabla3[[#This Row],[Subcategoria]],$D$374:$E$493,2,0)</f>
        <v>46</v>
      </c>
      <c r="J131">
        <v>46</v>
      </c>
      <c r="K131">
        <v>1</v>
      </c>
      <c r="L131" t="s">
        <v>1139</v>
      </c>
    </row>
    <row r="132" spans="1:12" x14ac:dyDescent="0.2">
      <c r="A132">
        <v>7</v>
      </c>
      <c r="B132" t="s">
        <v>1138</v>
      </c>
      <c r="C132">
        <v>46</v>
      </c>
      <c r="D132" t="s">
        <v>1123</v>
      </c>
      <c r="E132">
        <v>2</v>
      </c>
      <c r="F132" t="s">
        <v>1140</v>
      </c>
      <c r="G132" t="str">
        <f>Tabla3[[#This Row],[IDCatPrin]]&amp;Tabla3[[#This Row],[IDSubCat]]&amp;Tabla3[[#This Row],[Iddetalle]]</f>
        <v>7462</v>
      </c>
      <c r="H132">
        <f>VLOOKUP(Tabla3[[#This Row],[Subcategoria]],$D$374:$E$493,2,0)</f>
        <v>46</v>
      </c>
      <c r="J132">
        <v>46</v>
      </c>
      <c r="K132">
        <v>2</v>
      </c>
      <c r="L132" t="s">
        <v>1140</v>
      </c>
    </row>
    <row r="133" spans="1:12" x14ac:dyDescent="0.2">
      <c r="A133">
        <v>7</v>
      </c>
      <c r="B133" t="s">
        <v>1138</v>
      </c>
      <c r="C133">
        <v>46</v>
      </c>
      <c r="D133" t="s">
        <v>1123</v>
      </c>
      <c r="E133">
        <v>3</v>
      </c>
      <c r="F133" t="s">
        <v>1141</v>
      </c>
      <c r="G133" t="str">
        <f>Tabla3[[#This Row],[IDCatPrin]]&amp;Tabla3[[#This Row],[IDSubCat]]&amp;Tabla3[[#This Row],[Iddetalle]]</f>
        <v>7463</v>
      </c>
      <c r="H133">
        <f>VLOOKUP(Tabla3[[#This Row],[Subcategoria]],$D$374:$E$493,2,0)</f>
        <v>46</v>
      </c>
      <c r="J133">
        <v>46</v>
      </c>
      <c r="K133">
        <v>3</v>
      </c>
      <c r="L133" t="s">
        <v>1141</v>
      </c>
    </row>
    <row r="134" spans="1:12" x14ac:dyDescent="0.2">
      <c r="A134">
        <v>7</v>
      </c>
      <c r="B134" t="s">
        <v>1138</v>
      </c>
      <c r="C134">
        <v>46</v>
      </c>
      <c r="D134" t="s">
        <v>1123</v>
      </c>
      <c r="E134">
        <v>4</v>
      </c>
      <c r="F134" t="s">
        <v>1142</v>
      </c>
      <c r="G134" t="str">
        <f>Tabla3[[#This Row],[IDCatPrin]]&amp;Tabla3[[#This Row],[IDSubCat]]&amp;Tabla3[[#This Row],[Iddetalle]]</f>
        <v>7464</v>
      </c>
      <c r="H134">
        <f>VLOOKUP(Tabla3[[#This Row],[Subcategoria]],$D$374:$E$493,2,0)</f>
        <v>46</v>
      </c>
      <c r="J134">
        <v>46</v>
      </c>
      <c r="K134">
        <v>4</v>
      </c>
      <c r="L134" t="s">
        <v>1142</v>
      </c>
    </row>
    <row r="135" spans="1:12" x14ac:dyDescent="0.2">
      <c r="A135">
        <v>3</v>
      </c>
      <c r="B135" t="s">
        <v>1008</v>
      </c>
      <c r="C135">
        <v>47</v>
      </c>
      <c r="D135" t="s">
        <v>1013</v>
      </c>
      <c r="E135">
        <v>1</v>
      </c>
      <c r="F135" t="s">
        <v>1043</v>
      </c>
      <c r="G135" t="str">
        <f>Tabla3[[#This Row],[IDCatPrin]]&amp;Tabla3[[#This Row],[IDSubCat]]&amp;Tabla3[[#This Row],[Iddetalle]]</f>
        <v>3471</v>
      </c>
      <c r="H135">
        <f>VLOOKUP(Tabla3[[#This Row],[Subcategoria]],$D$374:$E$493,2,0)</f>
        <v>47</v>
      </c>
      <c r="J135">
        <v>47</v>
      </c>
      <c r="K135">
        <v>1</v>
      </c>
      <c r="L135" t="s">
        <v>1043</v>
      </c>
    </row>
    <row r="136" spans="1:12" x14ac:dyDescent="0.2">
      <c r="A136">
        <v>3</v>
      </c>
      <c r="B136" t="s">
        <v>1008</v>
      </c>
      <c r="C136">
        <v>47</v>
      </c>
      <c r="D136" t="s">
        <v>1013</v>
      </c>
      <c r="E136">
        <v>2</v>
      </c>
      <c r="F136" t="s">
        <v>1044</v>
      </c>
      <c r="G136" t="str">
        <f>Tabla3[[#This Row],[IDCatPrin]]&amp;Tabla3[[#This Row],[IDSubCat]]&amp;Tabla3[[#This Row],[Iddetalle]]</f>
        <v>3472</v>
      </c>
      <c r="H136">
        <f>VLOOKUP(Tabla3[[#This Row],[Subcategoria]],$D$374:$E$493,2,0)</f>
        <v>47</v>
      </c>
      <c r="J136">
        <v>47</v>
      </c>
      <c r="K136">
        <v>2</v>
      </c>
      <c r="L136" t="s">
        <v>1045</v>
      </c>
    </row>
    <row r="137" spans="1:12" x14ac:dyDescent="0.2">
      <c r="A137">
        <v>3</v>
      </c>
      <c r="B137" t="s">
        <v>1008</v>
      </c>
      <c r="C137">
        <v>47</v>
      </c>
      <c r="D137" t="s">
        <v>1013</v>
      </c>
      <c r="E137">
        <v>2</v>
      </c>
      <c r="F137" t="s">
        <v>1045</v>
      </c>
      <c r="G137" t="str">
        <f>Tabla3[[#This Row],[IDCatPrin]]&amp;Tabla3[[#This Row],[IDSubCat]]&amp;Tabla3[[#This Row],[Iddetalle]]</f>
        <v>3472</v>
      </c>
      <c r="H137">
        <f>VLOOKUP(Tabla3[[#This Row],[Subcategoria]],$D$374:$E$493,2,0)</f>
        <v>47</v>
      </c>
      <c r="J137">
        <v>47</v>
      </c>
      <c r="K137">
        <v>2</v>
      </c>
      <c r="L137" t="s">
        <v>1044</v>
      </c>
    </row>
    <row r="138" spans="1:12" x14ac:dyDescent="0.2">
      <c r="A138">
        <v>7</v>
      </c>
      <c r="B138" t="s">
        <v>1138</v>
      </c>
      <c r="C138">
        <v>48</v>
      </c>
      <c r="D138" t="s">
        <v>1109</v>
      </c>
      <c r="E138">
        <v>1</v>
      </c>
      <c r="G138" t="str">
        <f>Tabla3[[#This Row],[IDCatPrin]]&amp;Tabla3[[#This Row],[IDSubCat]]&amp;Tabla3[[#This Row],[Iddetalle]]</f>
        <v>7481</v>
      </c>
      <c r="H138">
        <f>VLOOKUP(Tabla3[[#This Row],[Subcategoria]],$D$374:$E$493,2,0)</f>
        <v>48</v>
      </c>
      <c r="J138">
        <v>48</v>
      </c>
      <c r="K138">
        <v>1</v>
      </c>
      <c r="L138" t="s">
        <v>1216</v>
      </c>
    </row>
    <row r="139" spans="1:12" x14ac:dyDescent="0.2">
      <c r="A139">
        <v>12</v>
      </c>
      <c r="B139" t="s">
        <v>972</v>
      </c>
      <c r="C139">
        <v>49</v>
      </c>
      <c r="D139" t="s">
        <v>961</v>
      </c>
      <c r="E139">
        <v>1</v>
      </c>
      <c r="F139" t="s">
        <v>983</v>
      </c>
      <c r="G139" t="str">
        <f>Tabla3[[#This Row],[IDCatPrin]]&amp;Tabla3[[#This Row],[IDSubCat]]&amp;Tabla3[[#This Row],[Iddetalle]]</f>
        <v>12491</v>
      </c>
      <c r="H139">
        <f>VLOOKUP(Tabla3[[#This Row],[Subcategoria]],$D$374:$E$493,2,0)</f>
        <v>49</v>
      </c>
      <c r="J139">
        <v>49</v>
      </c>
      <c r="K139">
        <v>1</v>
      </c>
      <c r="L139" t="s">
        <v>983</v>
      </c>
    </row>
    <row r="140" spans="1:12" x14ac:dyDescent="0.2">
      <c r="A140">
        <v>12</v>
      </c>
      <c r="B140" t="s">
        <v>972</v>
      </c>
      <c r="C140">
        <v>49</v>
      </c>
      <c r="D140" t="s">
        <v>961</v>
      </c>
      <c r="E140">
        <v>2</v>
      </c>
      <c r="F140" t="s">
        <v>984</v>
      </c>
      <c r="G140" t="str">
        <f>Tabla3[[#This Row],[IDCatPrin]]&amp;Tabla3[[#This Row],[IDSubCat]]&amp;Tabla3[[#This Row],[Iddetalle]]</f>
        <v>12492</v>
      </c>
      <c r="H140">
        <f>VLOOKUP(Tabla3[[#This Row],[Subcategoria]],$D$374:$E$493,2,0)</f>
        <v>49</v>
      </c>
      <c r="J140">
        <v>49</v>
      </c>
      <c r="K140">
        <v>2</v>
      </c>
      <c r="L140" t="s">
        <v>984</v>
      </c>
    </row>
    <row r="141" spans="1:12" x14ac:dyDescent="0.2">
      <c r="A141">
        <v>12</v>
      </c>
      <c r="B141" t="s">
        <v>972</v>
      </c>
      <c r="C141">
        <v>49</v>
      </c>
      <c r="D141" t="s">
        <v>961</v>
      </c>
      <c r="E141">
        <v>3</v>
      </c>
      <c r="F141" t="s">
        <v>985</v>
      </c>
      <c r="G141" t="str">
        <f>Tabla3[[#This Row],[IDCatPrin]]&amp;Tabla3[[#This Row],[IDSubCat]]&amp;Tabla3[[#This Row],[Iddetalle]]</f>
        <v>12493</v>
      </c>
      <c r="H141">
        <f>VLOOKUP(Tabla3[[#This Row],[Subcategoria]],$D$374:$E$493,2,0)</f>
        <v>49</v>
      </c>
      <c r="J141">
        <v>49</v>
      </c>
      <c r="K141">
        <v>3</v>
      </c>
      <c r="L141" t="s">
        <v>985</v>
      </c>
    </row>
    <row r="142" spans="1:12" x14ac:dyDescent="0.2">
      <c r="A142">
        <v>12</v>
      </c>
      <c r="B142" t="s">
        <v>972</v>
      </c>
      <c r="C142">
        <v>49</v>
      </c>
      <c r="D142" t="s">
        <v>961</v>
      </c>
      <c r="E142">
        <v>4</v>
      </c>
      <c r="F142" t="s">
        <v>986</v>
      </c>
      <c r="G142" t="str">
        <f>Tabla3[[#This Row],[IDCatPrin]]&amp;Tabla3[[#This Row],[IDSubCat]]&amp;Tabla3[[#This Row],[Iddetalle]]</f>
        <v>12494</v>
      </c>
      <c r="H142">
        <f>VLOOKUP(Tabla3[[#This Row],[Subcategoria]],$D$374:$E$493,2,0)</f>
        <v>49</v>
      </c>
      <c r="J142">
        <v>49</v>
      </c>
      <c r="K142">
        <v>4</v>
      </c>
      <c r="L142" t="s">
        <v>986</v>
      </c>
    </row>
    <row r="143" spans="1:12" x14ac:dyDescent="0.2">
      <c r="A143">
        <v>12</v>
      </c>
      <c r="B143" t="s">
        <v>972</v>
      </c>
      <c r="C143">
        <v>49</v>
      </c>
      <c r="D143" t="s">
        <v>961</v>
      </c>
      <c r="E143">
        <v>5</v>
      </c>
      <c r="F143" t="s">
        <v>987</v>
      </c>
      <c r="G143" t="str">
        <f>Tabla3[[#This Row],[IDCatPrin]]&amp;Tabla3[[#This Row],[IDSubCat]]&amp;Tabla3[[#This Row],[Iddetalle]]</f>
        <v>12495</v>
      </c>
      <c r="H143">
        <f>VLOOKUP(Tabla3[[#This Row],[Subcategoria]],$D$374:$E$493,2,0)</f>
        <v>49</v>
      </c>
      <c r="J143">
        <v>49</v>
      </c>
      <c r="K143">
        <v>5</v>
      </c>
      <c r="L143" t="s">
        <v>987</v>
      </c>
    </row>
    <row r="144" spans="1:12" x14ac:dyDescent="0.2">
      <c r="A144">
        <v>12</v>
      </c>
      <c r="B144" t="s">
        <v>972</v>
      </c>
      <c r="C144">
        <v>49</v>
      </c>
      <c r="D144" t="s">
        <v>961</v>
      </c>
      <c r="E144">
        <v>6</v>
      </c>
      <c r="F144" t="s">
        <v>988</v>
      </c>
      <c r="G144" t="str">
        <f>Tabla3[[#This Row],[IDCatPrin]]&amp;Tabla3[[#This Row],[IDSubCat]]&amp;Tabla3[[#This Row],[Iddetalle]]</f>
        <v>12496</v>
      </c>
      <c r="H144">
        <f>VLOOKUP(Tabla3[[#This Row],[Subcategoria]],$D$374:$E$493,2,0)</f>
        <v>49</v>
      </c>
      <c r="J144">
        <v>49</v>
      </c>
      <c r="K144">
        <v>6</v>
      </c>
      <c r="L144" t="s">
        <v>988</v>
      </c>
    </row>
    <row r="145" spans="1:12" x14ac:dyDescent="0.2">
      <c r="A145">
        <v>12</v>
      </c>
      <c r="B145" t="s">
        <v>972</v>
      </c>
      <c r="C145">
        <v>49</v>
      </c>
      <c r="D145" t="s">
        <v>961</v>
      </c>
      <c r="E145">
        <v>7</v>
      </c>
      <c r="F145" t="s">
        <v>989</v>
      </c>
      <c r="G145" t="str">
        <f>Tabla3[[#This Row],[IDCatPrin]]&amp;Tabla3[[#This Row],[IDSubCat]]&amp;Tabla3[[#This Row],[Iddetalle]]</f>
        <v>12497</v>
      </c>
      <c r="H145">
        <f>VLOOKUP(Tabla3[[#This Row],[Subcategoria]],$D$374:$E$493,2,0)</f>
        <v>49</v>
      </c>
      <c r="J145">
        <v>49</v>
      </c>
      <c r="K145">
        <v>7</v>
      </c>
      <c r="L145" t="s">
        <v>989</v>
      </c>
    </row>
    <row r="146" spans="1:12" x14ac:dyDescent="0.2">
      <c r="A146">
        <v>12</v>
      </c>
      <c r="B146" t="s">
        <v>972</v>
      </c>
      <c r="C146">
        <v>50</v>
      </c>
      <c r="D146" t="s">
        <v>962</v>
      </c>
      <c r="E146">
        <v>1</v>
      </c>
      <c r="F146" t="s">
        <v>990</v>
      </c>
      <c r="G146" t="str">
        <f>Tabla3[[#This Row],[IDCatPrin]]&amp;Tabla3[[#This Row],[IDSubCat]]&amp;Tabla3[[#This Row],[Iddetalle]]</f>
        <v>12501</v>
      </c>
      <c r="H146">
        <f>VLOOKUP(Tabla3[[#This Row],[Subcategoria]],$D$374:$E$493,2,0)</f>
        <v>50</v>
      </c>
      <c r="J146">
        <v>50</v>
      </c>
      <c r="K146">
        <v>1</v>
      </c>
      <c r="L146" t="s">
        <v>990</v>
      </c>
    </row>
    <row r="147" spans="1:12" x14ac:dyDescent="0.2">
      <c r="A147">
        <v>12</v>
      </c>
      <c r="B147" t="s">
        <v>972</v>
      </c>
      <c r="C147">
        <v>50</v>
      </c>
      <c r="D147" t="s">
        <v>962</v>
      </c>
      <c r="E147">
        <v>2</v>
      </c>
      <c r="F147" t="s">
        <v>991</v>
      </c>
      <c r="G147" t="str">
        <f>Tabla3[[#This Row],[IDCatPrin]]&amp;Tabla3[[#This Row],[IDSubCat]]&amp;Tabla3[[#This Row],[Iddetalle]]</f>
        <v>12502</v>
      </c>
      <c r="H147">
        <f>VLOOKUP(Tabla3[[#This Row],[Subcategoria]],$D$374:$E$493,2,0)</f>
        <v>50</v>
      </c>
      <c r="J147">
        <v>50</v>
      </c>
      <c r="K147">
        <v>2</v>
      </c>
      <c r="L147" t="s">
        <v>991</v>
      </c>
    </row>
    <row r="148" spans="1:12" x14ac:dyDescent="0.2">
      <c r="A148">
        <v>7</v>
      </c>
      <c r="B148" t="s">
        <v>1138</v>
      </c>
      <c r="C148">
        <v>51</v>
      </c>
      <c r="D148" t="s">
        <v>1135</v>
      </c>
      <c r="E148">
        <v>1</v>
      </c>
      <c r="F148" t="s">
        <v>1160</v>
      </c>
      <c r="G148" t="str">
        <f>Tabla3[[#This Row],[IDCatPrin]]&amp;Tabla3[[#This Row],[IDSubCat]]&amp;Tabla3[[#This Row],[Iddetalle]]</f>
        <v>7511</v>
      </c>
      <c r="H148">
        <f>VLOOKUP(Tabla3[[#This Row],[Subcategoria]],$D$374:$E$493,2,0)</f>
        <v>51</v>
      </c>
      <c r="J148">
        <v>51</v>
      </c>
      <c r="K148">
        <v>1</v>
      </c>
      <c r="L148" t="s">
        <v>1160</v>
      </c>
    </row>
    <row r="149" spans="1:12" x14ac:dyDescent="0.2">
      <c r="A149">
        <v>7</v>
      </c>
      <c r="B149" t="s">
        <v>1138</v>
      </c>
      <c r="C149">
        <v>52</v>
      </c>
      <c r="D149" t="s">
        <v>1121</v>
      </c>
      <c r="E149">
        <v>1</v>
      </c>
      <c r="G149" t="str">
        <f>Tabla3[[#This Row],[IDCatPrin]]&amp;Tabla3[[#This Row],[IDSubCat]]&amp;Tabla3[[#This Row],[Iddetalle]]</f>
        <v>7521</v>
      </c>
      <c r="H149">
        <f>VLOOKUP(Tabla3[[#This Row],[Subcategoria]],$D$374:$E$493,2,0)</f>
        <v>52</v>
      </c>
      <c r="J149">
        <v>52</v>
      </c>
      <c r="K149">
        <v>1</v>
      </c>
      <c r="L149" t="s">
        <v>1216</v>
      </c>
    </row>
    <row r="150" spans="1:12" x14ac:dyDescent="0.2">
      <c r="A150">
        <v>5</v>
      </c>
      <c r="B150" t="s">
        <v>841</v>
      </c>
      <c r="C150">
        <v>53</v>
      </c>
      <c r="D150" t="s">
        <v>846</v>
      </c>
      <c r="E150">
        <v>1</v>
      </c>
      <c r="F150" t="s">
        <v>860</v>
      </c>
      <c r="G150" t="str">
        <f>Tabla3[[#This Row],[IDCatPrin]]&amp;Tabla3[[#This Row],[IDSubCat]]&amp;Tabla3[[#This Row],[Iddetalle]]</f>
        <v>5531</v>
      </c>
      <c r="H150">
        <f>VLOOKUP(Tabla3[[#This Row],[Subcategoria]],$D$374:$E$493,2,0)</f>
        <v>53</v>
      </c>
      <c r="J150">
        <v>53</v>
      </c>
      <c r="K150">
        <v>1</v>
      </c>
      <c r="L150" t="s">
        <v>860</v>
      </c>
    </row>
    <row r="151" spans="1:12" x14ac:dyDescent="0.2">
      <c r="A151">
        <v>7</v>
      </c>
      <c r="B151" t="s">
        <v>1138</v>
      </c>
      <c r="C151">
        <v>54</v>
      </c>
      <c r="D151" t="s">
        <v>1112</v>
      </c>
      <c r="E151">
        <v>1</v>
      </c>
      <c r="G151" t="str">
        <f>Tabla3[[#This Row],[IDCatPrin]]&amp;Tabla3[[#This Row],[IDSubCat]]&amp;Tabla3[[#This Row],[Iddetalle]]</f>
        <v>7541</v>
      </c>
      <c r="H151">
        <f>VLOOKUP(Tabla3[[#This Row],[Subcategoria]],$D$374:$E$493,2,0)</f>
        <v>54</v>
      </c>
      <c r="J151">
        <v>54</v>
      </c>
      <c r="K151">
        <v>1</v>
      </c>
      <c r="L151" t="s">
        <v>1216</v>
      </c>
    </row>
    <row r="152" spans="1:12" x14ac:dyDescent="0.2">
      <c r="A152">
        <v>1</v>
      </c>
      <c r="B152" t="s">
        <v>713</v>
      </c>
      <c r="C152">
        <v>55</v>
      </c>
      <c r="D152" t="s">
        <v>715</v>
      </c>
      <c r="E152">
        <v>1</v>
      </c>
      <c r="F152" t="s">
        <v>742</v>
      </c>
      <c r="G152" t="str">
        <f>Tabla3[[#This Row],[IDCatPrin]]&amp;Tabla3[[#This Row],[IDSubCat]]&amp;Tabla3[[#This Row],[Iddetalle]]</f>
        <v>1551</v>
      </c>
      <c r="H152">
        <f>VLOOKUP(Tabla3[[#This Row],[Subcategoria]],$D$374:$E$493,2,0)</f>
        <v>55</v>
      </c>
      <c r="J152">
        <v>55</v>
      </c>
      <c r="K152">
        <v>1</v>
      </c>
      <c r="L152" t="s">
        <v>742</v>
      </c>
    </row>
    <row r="153" spans="1:12" x14ac:dyDescent="0.2">
      <c r="A153">
        <v>1</v>
      </c>
      <c r="B153" t="s">
        <v>713</v>
      </c>
      <c r="C153">
        <v>55</v>
      </c>
      <c r="D153" t="s">
        <v>715</v>
      </c>
      <c r="E153">
        <v>2</v>
      </c>
      <c r="F153" t="s">
        <v>743</v>
      </c>
      <c r="G153" t="str">
        <f>Tabla3[[#This Row],[IDCatPrin]]&amp;Tabla3[[#This Row],[IDSubCat]]&amp;Tabla3[[#This Row],[Iddetalle]]</f>
        <v>1552</v>
      </c>
      <c r="H153">
        <f>VLOOKUP(Tabla3[[#This Row],[Subcategoria]],$D$374:$E$493,2,0)</f>
        <v>55</v>
      </c>
      <c r="J153">
        <v>55</v>
      </c>
      <c r="K153">
        <v>2</v>
      </c>
      <c r="L153" t="s">
        <v>743</v>
      </c>
    </row>
    <row r="154" spans="1:12" x14ac:dyDescent="0.2">
      <c r="A154">
        <v>1</v>
      </c>
      <c r="B154" t="s">
        <v>713</v>
      </c>
      <c r="C154">
        <v>55</v>
      </c>
      <c r="D154" t="s">
        <v>715</v>
      </c>
      <c r="E154">
        <v>3</v>
      </c>
      <c r="F154" t="s">
        <v>744</v>
      </c>
      <c r="G154" t="str">
        <f>Tabla3[[#This Row],[IDCatPrin]]&amp;Tabla3[[#This Row],[IDSubCat]]&amp;Tabla3[[#This Row],[Iddetalle]]</f>
        <v>1553</v>
      </c>
      <c r="H154">
        <f>VLOOKUP(Tabla3[[#This Row],[Subcategoria]],$D$374:$E$493,2,0)</f>
        <v>55</v>
      </c>
      <c r="J154">
        <v>55</v>
      </c>
      <c r="K154">
        <v>3</v>
      </c>
      <c r="L154" t="s">
        <v>744</v>
      </c>
    </row>
    <row r="155" spans="1:12" x14ac:dyDescent="0.2">
      <c r="A155">
        <v>1</v>
      </c>
      <c r="B155" t="s">
        <v>713</v>
      </c>
      <c r="C155">
        <v>55</v>
      </c>
      <c r="D155" t="s">
        <v>715</v>
      </c>
      <c r="E155">
        <v>4</v>
      </c>
      <c r="F155" t="s">
        <v>745</v>
      </c>
      <c r="G155" t="str">
        <f>Tabla3[[#This Row],[IDCatPrin]]&amp;Tabla3[[#This Row],[IDSubCat]]&amp;Tabla3[[#This Row],[Iddetalle]]</f>
        <v>1554</v>
      </c>
      <c r="H155">
        <f>VLOOKUP(Tabla3[[#This Row],[Subcategoria]],$D$374:$E$493,2,0)</f>
        <v>55</v>
      </c>
      <c r="J155">
        <v>55</v>
      </c>
      <c r="K155">
        <v>4</v>
      </c>
      <c r="L155" t="s">
        <v>745</v>
      </c>
    </row>
    <row r="156" spans="1:12" x14ac:dyDescent="0.2">
      <c r="A156">
        <v>1</v>
      </c>
      <c r="B156" t="s">
        <v>713</v>
      </c>
      <c r="C156">
        <v>55</v>
      </c>
      <c r="D156" t="s">
        <v>715</v>
      </c>
      <c r="E156">
        <v>5</v>
      </c>
      <c r="F156" t="s">
        <v>746</v>
      </c>
      <c r="G156" t="str">
        <f>Tabla3[[#This Row],[IDCatPrin]]&amp;Tabla3[[#This Row],[IDSubCat]]&amp;Tabla3[[#This Row],[Iddetalle]]</f>
        <v>1555</v>
      </c>
      <c r="H156">
        <f>VLOOKUP(Tabla3[[#This Row],[Subcategoria]],$D$374:$E$493,2,0)</f>
        <v>55</v>
      </c>
      <c r="J156">
        <v>55</v>
      </c>
      <c r="K156">
        <v>5</v>
      </c>
      <c r="L156" t="s">
        <v>746</v>
      </c>
    </row>
    <row r="157" spans="1:12" x14ac:dyDescent="0.2">
      <c r="A157">
        <v>1</v>
      </c>
      <c r="B157" t="s">
        <v>713</v>
      </c>
      <c r="C157">
        <v>55</v>
      </c>
      <c r="D157" t="s">
        <v>715</v>
      </c>
      <c r="E157">
        <v>6</v>
      </c>
      <c r="F157" t="s">
        <v>747</v>
      </c>
      <c r="G157" t="str">
        <f>Tabla3[[#This Row],[IDCatPrin]]&amp;Tabla3[[#This Row],[IDSubCat]]&amp;Tabla3[[#This Row],[Iddetalle]]</f>
        <v>1556</v>
      </c>
      <c r="H157">
        <f>VLOOKUP(Tabla3[[#This Row],[Subcategoria]],$D$374:$E$493,2,0)</f>
        <v>55</v>
      </c>
      <c r="J157">
        <v>55</v>
      </c>
      <c r="K157">
        <v>6</v>
      </c>
      <c r="L157" t="s">
        <v>747</v>
      </c>
    </row>
    <row r="158" spans="1:12" x14ac:dyDescent="0.2">
      <c r="A158">
        <v>7</v>
      </c>
      <c r="B158" t="s">
        <v>1138</v>
      </c>
      <c r="C158">
        <v>56</v>
      </c>
      <c r="D158" t="s">
        <v>1133</v>
      </c>
      <c r="E158">
        <v>1</v>
      </c>
      <c r="G158" t="str">
        <f>Tabla3[[#This Row],[IDCatPrin]]&amp;Tabla3[[#This Row],[IDSubCat]]&amp;Tabla3[[#This Row],[Iddetalle]]</f>
        <v>7561</v>
      </c>
      <c r="H158">
        <f>VLOOKUP(Tabla3[[#This Row],[Subcategoria]],$D$374:$E$493,2,0)</f>
        <v>56</v>
      </c>
      <c r="J158">
        <v>56</v>
      </c>
      <c r="K158">
        <v>1</v>
      </c>
      <c r="L158" t="s">
        <v>1216</v>
      </c>
    </row>
    <row r="159" spans="1:12" x14ac:dyDescent="0.2">
      <c r="A159">
        <v>10</v>
      </c>
      <c r="B159" t="s">
        <v>840</v>
      </c>
      <c r="C159">
        <v>57</v>
      </c>
      <c r="D159" t="s">
        <v>824</v>
      </c>
      <c r="E159">
        <v>1</v>
      </c>
      <c r="F159" t="s">
        <v>836</v>
      </c>
      <c r="G159" t="str">
        <f>Tabla3[[#This Row],[IDCatPrin]]&amp;Tabla3[[#This Row],[IDSubCat]]&amp;Tabla3[[#This Row],[Iddetalle]]</f>
        <v>10571</v>
      </c>
      <c r="H159">
        <f>VLOOKUP(Tabla3[[#This Row],[Subcategoria]],$D$374:$E$493,2,0)</f>
        <v>57</v>
      </c>
      <c r="J159">
        <v>57</v>
      </c>
      <c r="K159">
        <v>1</v>
      </c>
      <c r="L159" t="s">
        <v>836</v>
      </c>
    </row>
    <row r="160" spans="1:12" x14ac:dyDescent="0.2">
      <c r="A160">
        <v>10</v>
      </c>
      <c r="B160" t="s">
        <v>840</v>
      </c>
      <c r="C160">
        <v>57</v>
      </c>
      <c r="D160" t="s">
        <v>824</v>
      </c>
      <c r="E160">
        <v>2</v>
      </c>
      <c r="F160" t="s">
        <v>837</v>
      </c>
      <c r="G160" t="str">
        <f>Tabla3[[#This Row],[IDCatPrin]]&amp;Tabla3[[#This Row],[IDSubCat]]&amp;Tabla3[[#This Row],[Iddetalle]]</f>
        <v>10572</v>
      </c>
      <c r="H160">
        <f>VLOOKUP(Tabla3[[#This Row],[Subcategoria]],$D$374:$E$493,2,0)</f>
        <v>57</v>
      </c>
      <c r="J160">
        <v>57</v>
      </c>
      <c r="K160">
        <v>2</v>
      </c>
      <c r="L160" t="s">
        <v>837</v>
      </c>
    </row>
    <row r="161" spans="1:12" x14ac:dyDescent="0.2">
      <c r="A161">
        <v>1</v>
      </c>
      <c r="B161" t="s">
        <v>713</v>
      </c>
      <c r="C161">
        <v>58</v>
      </c>
      <c r="D161" t="s">
        <v>716</v>
      </c>
      <c r="E161">
        <v>1</v>
      </c>
      <c r="F161" t="s">
        <v>748</v>
      </c>
      <c r="G161" t="str">
        <f>Tabla3[[#This Row],[IDCatPrin]]&amp;Tabla3[[#This Row],[IDSubCat]]&amp;Tabla3[[#This Row],[Iddetalle]]</f>
        <v>1581</v>
      </c>
      <c r="H161">
        <f>VLOOKUP(Tabla3[[#This Row],[Subcategoria]],$D$374:$E$493,2,0)</f>
        <v>58</v>
      </c>
      <c r="J161">
        <v>58</v>
      </c>
      <c r="K161">
        <v>1</v>
      </c>
      <c r="L161" t="s">
        <v>748</v>
      </c>
    </row>
    <row r="162" spans="1:12" x14ac:dyDescent="0.2">
      <c r="A162">
        <v>1</v>
      </c>
      <c r="B162" t="s">
        <v>713</v>
      </c>
      <c r="C162">
        <v>58</v>
      </c>
      <c r="D162" t="s">
        <v>716</v>
      </c>
      <c r="E162">
        <v>2</v>
      </c>
      <c r="F162" t="s">
        <v>749</v>
      </c>
      <c r="G162" t="str">
        <f>Tabla3[[#This Row],[IDCatPrin]]&amp;Tabla3[[#This Row],[IDSubCat]]&amp;Tabla3[[#This Row],[Iddetalle]]</f>
        <v>1582</v>
      </c>
      <c r="H162">
        <f>VLOOKUP(Tabla3[[#This Row],[Subcategoria]],$D$374:$E$493,2,0)</f>
        <v>58</v>
      </c>
      <c r="J162">
        <v>58</v>
      </c>
      <c r="K162">
        <v>2</v>
      </c>
      <c r="L162" t="s">
        <v>749</v>
      </c>
    </row>
    <row r="163" spans="1:12" x14ac:dyDescent="0.2">
      <c r="A163">
        <v>1</v>
      </c>
      <c r="B163" t="s">
        <v>713</v>
      </c>
      <c r="C163">
        <v>58</v>
      </c>
      <c r="D163" t="s">
        <v>716</v>
      </c>
      <c r="E163">
        <v>3</v>
      </c>
      <c r="F163" t="s">
        <v>750</v>
      </c>
      <c r="G163" t="str">
        <f>Tabla3[[#This Row],[IDCatPrin]]&amp;Tabla3[[#This Row],[IDSubCat]]&amp;Tabla3[[#This Row],[Iddetalle]]</f>
        <v>1583</v>
      </c>
      <c r="H163">
        <f>VLOOKUP(Tabla3[[#This Row],[Subcategoria]],$D$374:$E$493,2,0)</f>
        <v>58</v>
      </c>
      <c r="J163">
        <v>58</v>
      </c>
      <c r="K163">
        <v>3</v>
      </c>
      <c r="L163" t="s">
        <v>750</v>
      </c>
    </row>
    <row r="164" spans="1:12" x14ac:dyDescent="0.2">
      <c r="A164">
        <v>1</v>
      </c>
      <c r="B164" t="s">
        <v>713</v>
      </c>
      <c r="C164">
        <v>58</v>
      </c>
      <c r="D164" t="s">
        <v>716</v>
      </c>
      <c r="E164">
        <v>4</v>
      </c>
      <c r="F164" t="s">
        <v>751</v>
      </c>
      <c r="G164" t="str">
        <f>Tabla3[[#This Row],[IDCatPrin]]&amp;Tabla3[[#This Row],[IDSubCat]]&amp;Tabla3[[#This Row],[Iddetalle]]</f>
        <v>1584</v>
      </c>
      <c r="H164">
        <f>VLOOKUP(Tabla3[[#This Row],[Subcategoria]],$D$374:$E$493,2,0)</f>
        <v>58</v>
      </c>
      <c r="J164">
        <v>58</v>
      </c>
      <c r="K164">
        <v>4</v>
      </c>
      <c r="L164" t="s">
        <v>751</v>
      </c>
    </row>
    <row r="165" spans="1:12" x14ac:dyDescent="0.2">
      <c r="A165">
        <v>1</v>
      </c>
      <c r="B165" t="s">
        <v>713</v>
      </c>
      <c r="C165">
        <v>58</v>
      </c>
      <c r="D165" t="s">
        <v>716</v>
      </c>
      <c r="E165">
        <v>5</v>
      </c>
      <c r="F165" t="s">
        <v>752</v>
      </c>
      <c r="G165" t="str">
        <f>Tabla3[[#This Row],[IDCatPrin]]&amp;Tabla3[[#This Row],[IDSubCat]]&amp;Tabla3[[#This Row],[Iddetalle]]</f>
        <v>1585</v>
      </c>
      <c r="H165">
        <f>VLOOKUP(Tabla3[[#This Row],[Subcategoria]],$D$374:$E$493,2,0)</f>
        <v>58</v>
      </c>
      <c r="J165">
        <v>58</v>
      </c>
      <c r="K165">
        <v>5</v>
      </c>
      <c r="L165" t="s">
        <v>752</v>
      </c>
    </row>
    <row r="166" spans="1:12" x14ac:dyDescent="0.2">
      <c r="A166">
        <v>1</v>
      </c>
      <c r="B166" t="s">
        <v>713</v>
      </c>
      <c r="C166">
        <v>58</v>
      </c>
      <c r="D166" t="s">
        <v>716</v>
      </c>
      <c r="E166">
        <v>6</v>
      </c>
      <c r="F166" t="s">
        <v>753</v>
      </c>
      <c r="G166" t="str">
        <f>Tabla3[[#This Row],[IDCatPrin]]&amp;Tabla3[[#This Row],[IDSubCat]]&amp;Tabla3[[#This Row],[Iddetalle]]</f>
        <v>1586</v>
      </c>
      <c r="H166">
        <f>VLOOKUP(Tabla3[[#This Row],[Subcategoria]],$D$374:$E$493,2,0)</f>
        <v>58</v>
      </c>
      <c r="J166">
        <v>58</v>
      </c>
      <c r="K166">
        <v>6</v>
      </c>
      <c r="L166" t="s">
        <v>753</v>
      </c>
    </row>
    <row r="167" spans="1:12" x14ac:dyDescent="0.2">
      <c r="A167">
        <v>1</v>
      </c>
      <c r="B167" t="s">
        <v>713</v>
      </c>
      <c r="C167">
        <v>58</v>
      </c>
      <c r="D167" t="s">
        <v>716</v>
      </c>
      <c r="E167">
        <v>7</v>
      </c>
      <c r="F167" t="s">
        <v>754</v>
      </c>
      <c r="G167" t="str">
        <f>Tabla3[[#This Row],[IDCatPrin]]&amp;Tabla3[[#This Row],[IDSubCat]]&amp;Tabla3[[#This Row],[Iddetalle]]</f>
        <v>1587</v>
      </c>
      <c r="H167">
        <f>VLOOKUP(Tabla3[[#This Row],[Subcategoria]],$D$374:$E$493,2,0)</f>
        <v>58</v>
      </c>
      <c r="J167">
        <v>58</v>
      </c>
      <c r="K167">
        <v>7</v>
      </c>
      <c r="L167" t="s">
        <v>754</v>
      </c>
    </row>
    <row r="168" spans="1:12" x14ac:dyDescent="0.2">
      <c r="A168">
        <v>1</v>
      </c>
      <c r="B168" t="s">
        <v>713</v>
      </c>
      <c r="C168">
        <v>59</v>
      </c>
      <c r="D168" t="s">
        <v>722</v>
      </c>
      <c r="E168">
        <v>1</v>
      </c>
      <c r="F168" t="s">
        <v>781</v>
      </c>
      <c r="G168" t="str">
        <f>Tabla3[[#This Row],[IDCatPrin]]&amp;Tabla3[[#This Row],[IDSubCat]]&amp;Tabla3[[#This Row],[Iddetalle]]</f>
        <v>1591</v>
      </c>
      <c r="H168">
        <f>VLOOKUP(Tabla3[[#This Row],[Subcategoria]],$D$374:$E$493,2,0)</f>
        <v>59</v>
      </c>
      <c r="J168">
        <v>59</v>
      </c>
      <c r="K168">
        <v>1</v>
      </c>
      <c r="L168" t="s">
        <v>781</v>
      </c>
    </row>
    <row r="169" spans="1:12" x14ac:dyDescent="0.2">
      <c r="A169">
        <v>1</v>
      </c>
      <c r="B169" t="s">
        <v>713</v>
      </c>
      <c r="C169">
        <v>59</v>
      </c>
      <c r="D169" t="s">
        <v>722</v>
      </c>
      <c r="E169">
        <v>2</v>
      </c>
      <c r="F169" t="s">
        <v>782</v>
      </c>
      <c r="G169" t="str">
        <f>Tabla3[[#This Row],[IDCatPrin]]&amp;Tabla3[[#This Row],[IDSubCat]]&amp;Tabla3[[#This Row],[Iddetalle]]</f>
        <v>1592</v>
      </c>
      <c r="H169">
        <f>VLOOKUP(Tabla3[[#This Row],[Subcategoria]],$D$374:$E$493,2,0)</f>
        <v>59</v>
      </c>
      <c r="J169">
        <v>59</v>
      </c>
      <c r="K169">
        <v>2</v>
      </c>
      <c r="L169" t="s">
        <v>782</v>
      </c>
    </row>
    <row r="170" spans="1:12" x14ac:dyDescent="0.2">
      <c r="A170">
        <v>1</v>
      </c>
      <c r="B170" t="s">
        <v>713</v>
      </c>
      <c r="C170">
        <v>59</v>
      </c>
      <c r="D170" t="s">
        <v>722</v>
      </c>
      <c r="E170">
        <v>3</v>
      </c>
      <c r="F170" t="s">
        <v>783</v>
      </c>
      <c r="G170" t="str">
        <f>Tabla3[[#This Row],[IDCatPrin]]&amp;Tabla3[[#This Row],[IDSubCat]]&amp;Tabla3[[#This Row],[Iddetalle]]</f>
        <v>1593</v>
      </c>
      <c r="H170">
        <f>VLOOKUP(Tabla3[[#This Row],[Subcategoria]],$D$374:$E$493,2,0)</f>
        <v>59</v>
      </c>
      <c r="J170">
        <v>59</v>
      </c>
      <c r="K170">
        <v>3</v>
      </c>
      <c r="L170" t="s">
        <v>783</v>
      </c>
    </row>
    <row r="171" spans="1:12" x14ac:dyDescent="0.2">
      <c r="A171">
        <v>1</v>
      </c>
      <c r="B171" t="s">
        <v>713</v>
      </c>
      <c r="C171">
        <v>59</v>
      </c>
      <c r="D171" t="s">
        <v>722</v>
      </c>
      <c r="E171">
        <v>4</v>
      </c>
      <c r="F171" t="s">
        <v>784</v>
      </c>
      <c r="G171" t="str">
        <f>Tabla3[[#This Row],[IDCatPrin]]&amp;Tabla3[[#This Row],[IDSubCat]]&amp;Tabla3[[#This Row],[Iddetalle]]</f>
        <v>1594</v>
      </c>
      <c r="H171">
        <f>VLOOKUP(Tabla3[[#This Row],[Subcategoria]],$D$374:$E$493,2,0)</f>
        <v>59</v>
      </c>
      <c r="J171">
        <v>59</v>
      </c>
      <c r="K171">
        <v>4</v>
      </c>
      <c r="L171" t="s">
        <v>784</v>
      </c>
    </row>
    <row r="172" spans="1:12" x14ac:dyDescent="0.2">
      <c r="A172">
        <v>1</v>
      </c>
      <c r="B172" t="s">
        <v>713</v>
      </c>
      <c r="C172">
        <v>60</v>
      </c>
      <c r="D172" t="s">
        <v>728</v>
      </c>
      <c r="E172">
        <v>1</v>
      </c>
      <c r="F172" t="s">
        <v>781</v>
      </c>
      <c r="G172" t="str">
        <f>Tabla3[[#This Row],[IDCatPrin]]&amp;Tabla3[[#This Row],[IDSubCat]]&amp;Tabla3[[#This Row],[Iddetalle]]</f>
        <v>1601</v>
      </c>
      <c r="H172">
        <f>VLOOKUP(Tabla3[[#This Row],[Subcategoria]],$D$374:$E$493,2,0)</f>
        <v>60</v>
      </c>
      <c r="J172">
        <v>60</v>
      </c>
      <c r="K172">
        <v>1</v>
      </c>
      <c r="L172" t="s">
        <v>781</v>
      </c>
    </row>
    <row r="173" spans="1:12" x14ac:dyDescent="0.2">
      <c r="A173">
        <v>1</v>
      </c>
      <c r="B173" t="s">
        <v>713</v>
      </c>
      <c r="C173">
        <v>60</v>
      </c>
      <c r="D173" t="s">
        <v>728</v>
      </c>
      <c r="E173">
        <v>2</v>
      </c>
      <c r="F173" t="s">
        <v>782</v>
      </c>
      <c r="G173" t="str">
        <f>Tabla3[[#This Row],[IDCatPrin]]&amp;Tabla3[[#This Row],[IDSubCat]]&amp;Tabla3[[#This Row],[Iddetalle]]</f>
        <v>1602</v>
      </c>
      <c r="H173">
        <f>VLOOKUP(Tabla3[[#This Row],[Subcategoria]],$D$374:$E$493,2,0)</f>
        <v>60</v>
      </c>
      <c r="J173">
        <v>60</v>
      </c>
      <c r="K173">
        <v>2</v>
      </c>
      <c r="L173" t="s">
        <v>782</v>
      </c>
    </row>
    <row r="174" spans="1:12" x14ac:dyDescent="0.2">
      <c r="A174">
        <v>1</v>
      </c>
      <c r="B174" t="s">
        <v>713</v>
      </c>
      <c r="C174">
        <v>60</v>
      </c>
      <c r="D174" t="s">
        <v>728</v>
      </c>
      <c r="E174">
        <v>3</v>
      </c>
      <c r="F174" t="s">
        <v>783</v>
      </c>
      <c r="G174" t="str">
        <f>Tabla3[[#This Row],[IDCatPrin]]&amp;Tabla3[[#This Row],[IDSubCat]]&amp;Tabla3[[#This Row],[Iddetalle]]</f>
        <v>1603</v>
      </c>
      <c r="H174">
        <f>VLOOKUP(Tabla3[[#This Row],[Subcategoria]],$D$374:$E$493,2,0)</f>
        <v>60</v>
      </c>
      <c r="J174">
        <v>60</v>
      </c>
      <c r="K174">
        <v>3</v>
      </c>
      <c r="L174" t="s">
        <v>783</v>
      </c>
    </row>
    <row r="175" spans="1:12" x14ac:dyDescent="0.2">
      <c r="A175">
        <v>1</v>
      </c>
      <c r="B175" t="s">
        <v>713</v>
      </c>
      <c r="C175">
        <v>60</v>
      </c>
      <c r="D175" t="s">
        <v>728</v>
      </c>
      <c r="E175">
        <v>4</v>
      </c>
      <c r="F175" t="s">
        <v>784</v>
      </c>
      <c r="G175" t="str">
        <f>Tabla3[[#This Row],[IDCatPrin]]&amp;Tabla3[[#This Row],[IDSubCat]]&amp;Tabla3[[#This Row],[Iddetalle]]</f>
        <v>1604</v>
      </c>
      <c r="H175">
        <f>VLOOKUP(Tabla3[[#This Row],[Subcategoria]],$D$374:$E$493,2,0)</f>
        <v>60</v>
      </c>
      <c r="J175">
        <v>60</v>
      </c>
      <c r="K175">
        <v>4</v>
      </c>
      <c r="L175" t="s">
        <v>784</v>
      </c>
    </row>
    <row r="176" spans="1:12" x14ac:dyDescent="0.2">
      <c r="A176">
        <v>7</v>
      </c>
      <c r="B176" t="s">
        <v>1138</v>
      </c>
      <c r="C176">
        <v>61</v>
      </c>
      <c r="D176" t="s">
        <v>1132</v>
      </c>
      <c r="E176">
        <v>1</v>
      </c>
      <c r="F176" t="s">
        <v>1156</v>
      </c>
      <c r="G176" t="str">
        <f>Tabla3[[#This Row],[IDCatPrin]]&amp;Tabla3[[#This Row],[IDSubCat]]&amp;Tabla3[[#This Row],[Iddetalle]]</f>
        <v>7611</v>
      </c>
      <c r="H176">
        <f>VLOOKUP(Tabla3[[#This Row],[Subcategoria]],$D$374:$E$493,2,0)</f>
        <v>61</v>
      </c>
      <c r="J176">
        <v>61</v>
      </c>
      <c r="K176">
        <v>1</v>
      </c>
      <c r="L176" t="s">
        <v>1156</v>
      </c>
    </row>
    <row r="177" spans="1:12" x14ac:dyDescent="0.2">
      <c r="A177">
        <v>7</v>
      </c>
      <c r="B177" t="s">
        <v>1138</v>
      </c>
      <c r="C177">
        <v>61</v>
      </c>
      <c r="D177" t="s">
        <v>1132</v>
      </c>
      <c r="E177">
        <v>2</v>
      </c>
      <c r="F177" t="s">
        <v>1157</v>
      </c>
      <c r="G177" t="str">
        <f>Tabla3[[#This Row],[IDCatPrin]]&amp;Tabla3[[#This Row],[IDSubCat]]&amp;Tabla3[[#This Row],[Iddetalle]]</f>
        <v>7612</v>
      </c>
      <c r="H177">
        <f>VLOOKUP(Tabla3[[#This Row],[Subcategoria]],$D$374:$E$493,2,0)</f>
        <v>61</v>
      </c>
      <c r="J177">
        <v>61</v>
      </c>
      <c r="K177">
        <v>2</v>
      </c>
      <c r="L177" t="s">
        <v>1157</v>
      </c>
    </row>
    <row r="178" spans="1:12" x14ac:dyDescent="0.2">
      <c r="A178">
        <v>7</v>
      </c>
      <c r="B178" t="s">
        <v>1138</v>
      </c>
      <c r="C178">
        <v>61</v>
      </c>
      <c r="D178" t="s">
        <v>1132</v>
      </c>
      <c r="E178">
        <v>3</v>
      </c>
      <c r="F178" t="s">
        <v>1158</v>
      </c>
      <c r="G178" t="str">
        <f>Tabla3[[#This Row],[IDCatPrin]]&amp;Tabla3[[#This Row],[IDSubCat]]&amp;Tabla3[[#This Row],[Iddetalle]]</f>
        <v>7613</v>
      </c>
      <c r="H178">
        <f>VLOOKUP(Tabla3[[#This Row],[Subcategoria]],$D$374:$E$493,2,0)</f>
        <v>61</v>
      </c>
      <c r="J178">
        <v>61</v>
      </c>
      <c r="K178">
        <v>3</v>
      </c>
      <c r="L178" t="s">
        <v>1158</v>
      </c>
    </row>
    <row r="179" spans="1:12" x14ac:dyDescent="0.2">
      <c r="A179">
        <v>8</v>
      </c>
      <c r="B179" t="s">
        <v>934</v>
      </c>
      <c r="C179">
        <v>62</v>
      </c>
      <c r="D179" t="s">
        <v>935</v>
      </c>
      <c r="E179">
        <v>1</v>
      </c>
      <c r="F179" t="s">
        <v>936</v>
      </c>
      <c r="G179" t="str">
        <f>Tabla3[[#This Row],[IDCatPrin]]&amp;Tabla3[[#This Row],[IDSubCat]]&amp;Tabla3[[#This Row],[Iddetalle]]</f>
        <v>8621</v>
      </c>
      <c r="H179">
        <f>VLOOKUP(Tabla3[[#This Row],[Subcategoria]],$D$374:$E$493,2,0)</f>
        <v>62</v>
      </c>
      <c r="J179">
        <v>62</v>
      </c>
      <c r="K179">
        <v>1</v>
      </c>
      <c r="L179" t="s">
        <v>936</v>
      </c>
    </row>
    <row r="180" spans="1:12" x14ac:dyDescent="0.2">
      <c r="A180">
        <v>8</v>
      </c>
      <c r="B180" t="s">
        <v>934</v>
      </c>
      <c r="C180">
        <v>62</v>
      </c>
      <c r="D180" t="s">
        <v>935</v>
      </c>
      <c r="E180">
        <v>2</v>
      </c>
      <c r="F180" t="s">
        <v>937</v>
      </c>
      <c r="G180" t="str">
        <f>Tabla3[[#This Row],[IDCatPrin]]&amp;Tabla3[[#This Row],[IDSubCat]]&amp;Tabla3[[#This Row],[Iddetalle]]</f>
        <v>8622</v>
      </c>
      <c r="H180">
        <f>VLOOKUP(Tabla3[[#This Row],[Subcategoria]],$D$374:$E$493,2,0)</f>
        <v>62</v>
      </c>
      <c r="J180">
        <v>62</v>
      </c>
      <c r="K180">
        <v>2</v>
      </c>
      <c r="L180" t="s">
        <v>937</v>
      </c>
    </row>
    <row r="181" spans="1:12" x14ac:dyDescent="0.2">
      <c r="A181">
        <v>8</v>
      </c>
      <c r="B181" t="s">
        <v>934</v>
      </c>
      <c r="C181">
        <v>62</v>
      </c>
      <c r="D181" t="s">
        <v>935</v>
      </c>
      <c r="E181">
        <v>3</v>
      </c>
      <c r="F181" t="s">
        <v>938</v>
      </c>
      <c r="G181" t="str">
        <f>Tabla3[[#This Row],[IDCatPrin]]&amp;Tabla3[[#This Row],[IDSubCat]]&amp;Tabla3[[#This Row],[Iddetalle]]</f>
        <v>8623</v>
      </c>
      <c r="H181">
        <f>VLOOKUP(Tabla3[[#This Row],[Subcategoria]],$D$374:$E$493,2,0)</f>
        <v>62</v>
      </c>
      <c r="J181">
        <v>62</v>
      </c>
      <c r="K181">
        <v>3</v>
      </c>
      <c r="L181" t="s">
        <v>938</v>
      </c>
    </row>
    <row r="182" spans="1:12" x14ac:dyDescent="0.2">
      <c r="A182">
        <v>8</v>
      </c>
      <c r="B182" t="s">
        <v>934</v>
      </c>
      <c r="C182">
        <v>62</v>
      </c>
      <c r="D182" t="s">
        <v>935</v>
      </c>
      <c r="E182">
        <v>4</v>
      </c>
      <c r="F182" t="s">
        <v>939</v>
      </c>
      <c r="G182" t="str">
        <f>Tabla3[[#This Row],[IDCatPrin]]&amp;Tabla3[[#This Row],[IDSubCat]]&amp;Tabla3[[#This Row],[Iddetalle]]</f>
        <v>8624</v>
      </c>
      <c r="H182">
        <f>VLOOKUP(Tabla3[[#This Row],[Subcategoria]],$D$374:$E$493,2,0)</f>
        <v>62</v>
      </c>
      <c r="J182">
        <v>62</v>
      </c>
      <c r="K182">
        <v>4</v>
      </c>
      <c r="L182" t="s">
        <v>939</v>
      </c>
    </row>
    <row r="183" spans="1:12" x14ac:dyDescent="0.2">
      <c r="A183">
        <v>8</v>
      </c>
      <c r="B183" t="s">
        <v>934</v>
      </c>
      <c r="C183">
        <v>62</v>
      </c>
      <c r="D183" t="s">
        <v>935</v>
      </c>
      <c r="E183">
        <v>5</v>
      </c>
      <c r="F183" t="s">
        <v>940</v>
      </c>
      <c r="G183" t="str">
        <f>Tabla3[[#This Row],[IDCatPrin]]&amp;Tabla3[[#This Row],[IDSubCat]]&amp;Tabla3[[#This Row],[Iddetalle]]</f>
        <v>8625</v>
      </c>
      <c r="H183">
        <f>VLOOKUP(Tabla3[[#This Row],[Subcategoria]],$D$374:$E$493,2,0)</f>
        <v>62</v>
      </c>
      <c r="J183">
        <v>62</v>
      </c>
      <c r="K183">
        <v>5</v>
      </c>
      <c r="L183" t="s">
        <v>940</v>
      </c>
    </row>
    <row r="184" spans="1:12" x14ac:dyDescent="0.2">
      <c r="A184">
        <v>8</v>
      </c>
      <c r="B184" t="s">
        <v>934</v>
      </c>
      <c r="C184">
        <v>62</v>
      </c>
      <c r="D184" t="s">
        <v>935</v>
      </c>
      <c r="E184">
        <v>6</v>
      </c>
      <c r="F184" t="s">
        <v>941</v>
      </c>
      <c r="G184" t="str">
        <f>Tabla3[[#This Row],[IDCatPrin]]&amp;Tabla3[[#This Row],[IDSubCat]]&amp;Tabla3[[#This Row],[Iddetalle]]</f>
        <v>8626</v>
      </c>
      <c r="H184">
        <f>VLOOKUP(Tabla3[[#This Row],[Subcategoria]],$D$374:$E$493,2,0)</f>
        <v>62</v>
      </c>
      <c r="J184">
        <v>62</v>
      </c>
      <c r="K184">
        <v>6</v>
      </c>
      <c r="L184" t="s">
        <v>941</v>
      </c>
    </row>
    <row r="185" spans="1:12" x14ac:dyDescent="0.2">
      <c r="A185">
        <v>2</v>
      </c>
      <c r="B185" t="s">
        <v>868</v>
      </c>
      <c r="C185">
        <v>63</v>
      </c>
      <c r="D185" t="s">
        <v>863</v>
      </c>
      <c r="E185">
        <v>1</v>
      </c>
      <c r="F185" t="s">
        <v>874</v>
      </c>
      <c r="G185" t="str">
        <f>Tabla3[[#This Row],[IDCatPrin]]&amp;Tabla3[[#This Row],[IDSubCat]]&amp;Tabla3[[#This Row],[Iddetalle]]</f>
        <v>2631</v>
      </c>
      <c r="H185">
        <f>VLOOKUP(Tabla3[[#This Row],[Subcategoria]],$D$374:$E$493,2,0)</f>
        <v>63</v>
      </c>
      <c r="J185">
        <v>63</v>
      </c>
      <c r="K185">
        <v>1</v>
      </c>
      <c r="L185" t="s">
        <v>874</v>
      </c>
    </row>
    <row r="186" spans="1:12" x14ac:dyDescent="0.2">
      <c r="A186">
        <v>2</v>
      </c>
      <c r="B186" t="s">
        <v>868</v>
      </c>
      <c r="C186">
        <v>63</v>
      </c>
      <c r="D186" t="s">
        <v>863</v>
      </c>
      <c r="E186">
        <v>2</v>
      </c>
      <c r="F186" t="s">
        <v>875</v>
      </c>
      <c r="G186" t="str">
        <f>Tabla3[[#This Row],[IDCatPrin]]&amp;Tabla3[[#This Row],[IDSubCat]]&amp;Tabla3[[#This Row],[Iddetalle]]</f>
        <v>2632</v>
      </c>
      <c r="H186">
        <f>VLOOKUP(Tabla3[[#This Row],[Subcategoria]],$D$374:$E$493,2,0)</f>
        <v>63</v>
      </c>
      <c r="J186">
        <v>63</v>
      </c>
      <c r="K186">
        <v>2</v>
      </c>
      <c r="L186" t="s">
        <v>875</v>
      </c>
    </row>
    <row r="187" spans="1:12" x14ac:dyDescent="0.2">
      <c r="A187">
        <v>1</v>
      </c>
      <c r="B187" t="s">
        <v>713</v>
      </c>
      <c r="C187">
        <v>64</v>
      </c>
      <c r="D187" t="s">
        <v>720</v>
      </c>
      <c r="E187">
        <v>1</v>
      </c>
      <c r="F187" t="s">
        <v>771</v>
      </c>
      <c r="G187" t="str">
        <f>Tabla3[[#This Row],[IDCatPrin]]&amp;Tabla3[[#This Row],[IDSubCat]]&amp;Tabla3[[#This Row],[Iddetalle]]</f>
        <v>1641</v>
      </c>
      <c r="H187">
        <f>VLOOKUP(Tabla3[[#This Row],[Subcategoria]],$D$374:$E$493,2,0)</f>
        <v>64</v>
      </c>
      <c r="J187">
        <v>64</v>
      </c>
      <c r="K187">
        <v>1</v>
      </c>
      <c r="L187" t="s">
        <v>771</v>
      </c>
    </row>
    <row r="188" spans="1:12" x14ac:dyDescent="0.2">
      <c r="A188">
        <v>1</v>
      </c>
      <c r="B188" t="s">
        <v>713</v>
      </c>
      <c r="C188">
        <v>64</v>
      </c>
      <c r="D188" t="s">
        <v>720</v>
      </c>
      <c r="E188">
        <v>2</v>
      </c>
      <c r="F188" t="s">
        <v>772</v>
      </c>
      <c r="G188" t="str">
        <f>Tabla3[[#This Row],[IDCatPrin]]&amp;Tabla3[[#This Row],[IDSubCat]]&amp;Tabla3[[#This Row],[Iddetalle]]</f>
        <v>1642</v>
      </c>
      <c r="H188">
        <f>VLOOKUP(Tabla3[[#This Row],[Subcategoria]],$D$374:$E$493,2,0)</f>
        <v>64</v>
      </c>
      <c r="J188">
        <v>64</v>
      </c>
      <c r="K188">
        <v>2</v>
      </c>
      <c r="L188" t="s">
        <v>772</v>
      </c>
    </row>
    <row r="189" spans="1:12" x14ac:dyDescent="0.2">
      <c r="A189">
        <v>1</v>
      </c>
      <c r="B189" t="s">
        <v>713</v>
      </c>
      <c r="C189">
        <v>64</v>
      </c>
      <c r="D189" t="s">
        <v>720</v>
      </c>
      <c r="E189">
        <v>3</v>
      </c>
      <c r="F189" t="s">
        <v>773</v>
      </c>
      <c r="G189" t="str">
        <f>Tabla3[[#This Row],[IDCatPrin]]&amp;Tabla3[[#This Row],[IDSubCat]]&amp;Tabla3[[#This Row],[Iddetalle]]</f>
        <v>1643</v>
      </c>
      <c r="H189">
        <f>VLOOKUP(Tabla3[[#This Row],[Subcategoria]],$D$374:$E$493,2,0)</f>
        <v>64</v>
      </c>
      <c r="J189">
        <v>64</v>
      </c>
      <c r="K189">
        <v>3</v>
      </c>
      <c r="L189" t="s">
        <v>773</v>
      </c>
    </row>
    <row r="190" spans="1:12" x14ac:dyDescent="0.2">
      <c r="A190">
        <v>1</v>
      </c>
      <c r="B190" t="s">
        <v>713</v>
      </c>
      <c r="C190">
        <v>64</v>
      </c>
      <c r="D190" t="s">
        <v>720</v>
      </c>
      <c r="E190">
        <v>4</v>
      </c>
      <c r="F190" t="s">
        <v>774</v>
      </c>
      <c r="G190" t="str">
        <f>Tabla3[[#This Row],[IDCatPrin]]&amp;Tabla3[[#This Row],[IDSubCat]]&amp;Tabla3[[#This Row],[Iddetalle]]</f>
        <v>1644</v>
      </c>
      <c r="H190">
        <f>VLOOKUP(Tabla3[[#This Row],[Subcategoria]],$D$374:$E$493,2,0)</f>
        <v>64</v>
      </c>
      <c r="J190">
        <v>64</v>
      </c>
      <c r="K190">
        <v>4</v>
      </c>
      <c r="L190" t="s">
        <v>774</v>
      </c>
    </row>
    <row r="191" spans="1:12" x14ac:dyDescent="0.2">
      <c r="A191">
        <v>10</v>
      </c>
      <c r="B191" t="s">
        <v>840</v>
      </c>
      <c r="C191">
        <v>65</v>
      </c>
      <c r="D191" t="s">
        <v>822</v>
      </c>
      <c r="E191">
        <v>1</v>
      </c>
      <c r="F191" t="s">
        <v>831</v>
      </c>
      <c r="G191" t="str">
        <f>Tabla3[[#This Row],[IDCatPrin]]&amp;Tabla3[[#This Row],[IDSubCat]]&amp;Tabla3[[#This Row],[Iddetalle]]</f>
        <v>10651</v>
      </c>
      <c r="H191">
        <f>VLOOKUP(Tabla3[[#This Row],[Subcategoria]],$D$374:$E$493,2,0)</f>
        <v>65</v>
      </c>
      <c r="J191">
        <v>65</v>
      </c>
      <c r="K191">
        <v>1</v>
      </c>
      <c r="L191" t="s">
        <v>831</v>
      </c>
    </row>
    <row r="192" spans="1:12" x14ac:dyDescent="0.2">
      <c r="A192">
        <v>10</v>
      </c>
      <c r="B192" t="s">
        <v>840</v>
      </c>
      <c r="C192">
        <v>65</v>
      </c>
      <c r="D192" t="s">
        <v>822</v>
      </c>
      <c r="E192">
        <v>2</v>
      </c>
      <c r="F192" t="s">
        <v>832</v>
      </c>
      <c r="G192" t="str">
        <f>Tabla3[[#This Row],[IDCatPrin]]&amp;Tabla3[[#This Row],[IDSubCat]]&amp;Tabla3[[#This Row],[Iddetalle]]</f>
        <v>10652</v>
      </c>
      <c r="H192">
        <f>VLOOKUP(Tabla3[[#This Row],[Subcategoria]],$D$374:$E$493,2,0)</f>
        <v>65</v>
      </c>
      <c r="J192">
        <v>65</v>
      </c>
      <c r="K192">
        <v>2</v>
      </c>
      <c r="L192" t="s">
        <v>832</v>
      </c>
    </row>
    <row r="193" spans="1:12" x14ac:dyDescent="0.2">
      <c r="A193">
        <v>10</v>
      </c>
      <c r="B193" t="s">
        <v>840</v>
      </c>
      <c r="C193">
        <v>65</v>
      </c>
      <c r="D193" t="s">
        <v>822</v>
      </c>
      <c r="E193">
        <v>3</v>
      </c>
      <c r="F193" t="s">
        <v>833</v>
      </c>
      <c r="G193" t="str">
        <f>Tabla3[[#This Row],[IDCatPrin]]&amp;Tabla3[[#This Row],[IDSubCat]]&amp;Tabla3[[#This Row],[Iddetalle]]</f>
        <v>10653</v>
      </c>
      <c r="H193">
        <f>VLOOKUP(Tabla3[[#This Row],[Subcategoria]],$D$374:$E$493,2,0)</f>
        <v>65</v>
      </c>
      <c r="J193">
        <v>65</v>
      </c>
      <c r="K193">
        <v>3</v>
      </c>
      <c r="L193" t="s">
        <v>833</v>
      </c>
    </row>
    <row r="194" spans="1:12" x14ac:dyDescent="0.2">
      <c r="A194">
        <v>1</v>
      </c>
      <c r="B194" t="s">
        <v>713</v>
      </c>
      <c r="C194">
        <v>66</v>
      </c>
      <c r="D194" t="s">
        <v>723</v>
      </c>
      <c r="E194">
        <v>1</v>
      </c>
      <c r="F194" t="s">
        <v>785</v>
      </c>
      <c r="G194" t="str">
        <f>Tabla3[[#This Row],[IDCatPrin]]&amp;Tabla3[[#This Row],[IDSubCat]]&amp;Tabla3[[#This Row],[Iddetalle]]</f>
        <v>1661</v>
      </c>
      <c r="H194">
        <f>VLOOKUP(Tabla3[[#This Row],[Subcategoria]],$D$374:$E$493,2,0)</f>
        <v>66</v>
      </c>
      <c r="J194">
        <v>66</v>
      </c>
      <c r="K194">
        <v>1</v>
      </c>
      <c r="L194" t="s">
        <v>785</v>
      </c>
    </row>
    <row r="195" spans="1:12" x14ac:dyDescent="0.2">
      <c r="A195">
        <v>1</v>
      </c>
      <c r="B195" t="s">
        <v>713</v>
      </c>
      <c r="C195">
        <v>66</v>
      </c>
      <c r="D195" t="s">
        <v>723</v>
      </c>
      <c r="E195">
        <v>2</v>
      </c>
      <c r="F195" t="s">
        <v>786</v>
      </c>
      <c r="G195" t="str">
        <f>Tabla3[[#This Row],[IDCatPrin]]&amp;Tabla3[[#This Row],[IDSubCat]]&amp;Tabla3[[#This Row],[Iddetalle]]</f>
        <v>1662</v>
      </c>
      <c r="H195">
        <f>VLOOKUP(Tabla3[[#This Row],[Subcategoria]],$D$374:$E$493,2,0)</f>
        <v>66</v>
      </c>
      <c r="J195">
        <v>66</v>
      </c>
      <c r="K195">
        <v>2</v>
      </c>
      <c r="L195" t="s">
        <v>786</v>
      </c>
    </row>
    <row r="196" spans="1:12" x14ac:dyDescent="0.2">
      <c r="A196">
        <v>1</v>
      </c>
      <c r="B196" t="s">
        <v>713</v>
      </c>
      <c r="C196">
        <v>66</v>
      </c>
      <c r="D196" t="s">
        <v>723</v>
      </c>
      <c r="E196">
        <v>3</v>
      </c>
      <c r="F196" t="s">
        <v>787</v>
      </c>
      <c r="G196" t="str">
        <f>Tabla3[[#This Row],[IDCatPrin]]&amp;Tabla3[[#This Row],[IDSubCat]]&amp;Tabla3[[#This Row],[Iddetalle]]</f>
        <v>1663</v>
      </c>
      <c r="H196">
        <f>VLOOKUP(Tabla3[[#This Row],[Subcategoria]],$D$374:$E$493,2,0)</f>
        <v>66</v>
      </c>
      <c r="J196">
        <v>66</v>
      </c>
      <c r="K196">
        <v>3</v>
      </c>
      <c r="L196" t="s">
        <v>787</v>
      </c>
    </row>
    <row r="197" spans="1:12" x14ac:dyDescent="0.2">
      <c r="A197">
        <v>1</v>
      </c>
      <c r="B197" t="s">
        <v>713</v>
      </c>
      <c r="C197">
        <v>66</v>
      </c>
      <c r="D197" t="s">
        <v>723</v>
      </c>
      <c r="E197">
        <v>4</v>
      </c>
      <c r="F197" t="s">
        <v>788</v>
      </c>
      <c r="G197" t="str">
        <f>Tabla3[[#This Row],[IDCatPrin]]&amp;Tabla3[[#This Row],[IDSubCat]]&amp;Tabla3[[#This Row],[Iddetalle]]</f>
        <v>1664</v>
      </c>
      <c r="H197">
        <f>VLOOKUP(Tabla3[[#This Row],[Subcategoria]],$D$374:$E$493,2,0)</f>
        <v>66</v>
      </c>
      <c r="J197">
        <v>66</v>
      </c>
      <c r="K197">
        <v>4</v>
      </c>
      <c r="L197" t="s">
        <v>788</v>
      </c>
    </row>
    <row r="198" spans="1:12" x14ac:dyDescent="0.2">
      <c r="A198">
        <v>1</v>
      </c>
      <c r="B198" t="s">
        <v>713</v>
      </c>
      <c r="C198">
        <v>66</v>
      </c>
      <c r="D198" t="s">
        <v>723</v>
      </c>
      <c r="E198">
        <v>5</v>
      </c>
      <c r="F198" t="s">
        <v>789</v>
      </c>
      <c r="G198" t="str">
        <f>Tabla3[[#This Row],[IDCatPrin]]&amp;Tabla3[[#This Row],[IDSubCat]]&amp;Tabla3[[#This Row],[Iddetalle]]</f>
        <v>1665</v>
      </c>
      <c r="H198">
        <f>VLOOKUP(Tabla3[[#This Row],[Subcategoria]],$D$374:$E$493,2,0)</f>
        <v>66</v>
      </c>
      <c r="J198">
        <v>66</v>
      </c>
      <c r="K198">
        <v>5</v>
      </c>
      <c r="L198" t="s">
        <v>789</v>
      </c>
    </row>
    <row r="199" spans="1:12" x14ac:dyDescent="0.2">
      <c r="A199">
        <v>1</v>
      </c>
      <c r="B199" t="s">
        <v>713</v>
      </c>
      <c r="C199">
        <v>66</v>
      </c>
      <c r="D199" t="s">
        <v>723</v>
      </c>
      <c r="E199">
        <v>6</v>
      </c>
      <c r="F199" t="s">
        <v>790</v>
      </c>
      <c r="G199" t="str">
        <f>Tabla3[[#This Row],[IDCatPrin]]&amp;Tabla3[[#This Row],[IDSubCat]]&amp;Tabla3[[#This Row],[Iddetalle]]</f>
        <v>1666</v>
      </c>
      <c r="H199">
        <f>VLOOKUP(Tabla3[[#This Row],[Subcategoria]],$D$374:$E$493,2,0)</f>
        <v>66</v>
      </c>
      <c r="J199">
        <v>66</v>
      </c>
      <c r="K199">
        <v>6</v>
      </c>
      <c r="L199" t="s">
        <v>790</v>
      </c>
    </row>
    <row r="200" spans="1:12" x14ac:dyDescent="0.2">
      <c r="A200">
        <v>3</v>
      </c>
      <c r="B200" t="s">
        <v>1008</v>
      </c>
      <c r="C200">
        <v>67</v>
      </c>
      <c r="D200" t="s">
        <v>1011</v>
      </c>
      <c r="E200">
        <v>1</v>
      </c>
      <c r="F200" t="s">
        <v>1033</v>
      </c>
      <c r="G200" t="str">
        <f>Tabla3[[#This Row],[IDCatPrin]]&amp;Tabla3[[#This Row],[IDSubCat]]&amp;Tabla3[[#This Row],[Iddetalle]]</f>
        <v>3671</v>
      </c>
      <c r="H200">
        <f>VLOOKUP(Tabla3[[#This Row],[Subcategoria]],$D$374:$E$493,2,0)</f>
        <v>67</v>
      </c>
      <c r="J200">
        <v>67</v>
      </c>
      <c r="K200">
        <v>1</v>
      </c>
      <c r="L200" t="s">
        <v>1033</v>
      </c>
    </row>
    <row r="201" spans="1:12" x14ac:dyDescent="0.2">
      <c r="A201">
        <v>3</v>
      </c>
      <c r="B201" t="s">
        <v>1008</v>
      </c>
      <c r="C201">
        <v>67</v>
      </c>
      <c r="D201" t="s">
        <v>1011</v>
      </c>
      <c r="E201">
        <v>2</v>
      </c>
      <c r="F201" t="s">
        <v>1034</v>
      </c>
      <c r="G201" t="str">
        <f>Tabla3[[#This Row],[IDCatPrin]]&amp;Tabla3[[#This Row],[IDSubCat]]&amp;Tabla3[[#This Row],[Iddetalle]]</f>
        <v>3672</v>
      </c>
      <c r="H201">
        <f>VLOOKUP(Tabla3[[#This Row],[Subcategoria]],$D$374:$E$493,2,0)</f>
        <v>67</v>
      </c>
      <c r="J201">
        <v>67</v>
      </c>
      <c r="K201">
        <v>2</v>
      </c>
      <c r="L201" t="s">
        <v>1034</v>
      </c>
    </row>
    <row r="202" spans="1:12" x14ac:dyDescent="0.2">
      <c r="A202">
        <v>3</v>
      </c>
      <c r="B202" t="s">
        <v>1008</v>
      </c>
      <c r="C202">
        <v>67</v>
      </c>
      <c r="D202" t="s">
        <v>1011</v>
      </c>
      <c r="E202">
        <v>3</v>
      </c>
      <c r="F202" t="s">
        <v>1035</v>
      </c>
      <c r="G202" t="str">
        <f>Tabla3[[#This Row],[IDCatPrin]]&amp;Tabla3[[#This Row],[IDSubCat]]&amp;Tabla3[[#This Row],[Iddetalle]]</f>
        <v>3673</v>
      </c>
      <c r="H202">
        <f>VLOOKUP(Tabla3[[#This Row],[Subcategoria]],$D$374:$E$493,2,0)</f>
        <v>67</v>
      </c>
      <c r="J202">
        <v>67</v>
      </c>
      <c r="K202">
        <v>3</v>
      </c>
      <c r="L202" t="s">
        <v>1035</v>
      </c>
    </row>
    <row r="203" spans="1:12" x14ac:dyDescent="0.2">
      <c r="A203">
        <v>3</v>
      </c>
      <c r="B203" t="s">
        <v>1008</v>
      </c>
      <c r="C203">
        <v>67</v>
      </c>
      <c r="D203" t="s">
        <v>1011</v>
      </c>
      <c r="E203">
        <v>4</v>
      </c>
      <c r="F203" t="s">
        <v>1036</v>
      </c>
      <c r="G203" t="str">
        <f>Tabla3[[#This Row],[IDCatPrin]]&amp;Tabla3[[#This Row],[IDSubCat]]&amp;Tabla3[[#This Row],[Iddetalle]]</f>
        <v>3674</v>
      </c>
      <c r="H203">
        <f>VLOOKUP(Tabla3[[#This Row],[Subcategoria]],$D$374:$E$493,2,0)</f>
        <v>67</v>
      </c>
      <c r="J203">
        <v>67</v>
      </c>
      <c r="K203">
        <v>4</v>
      </c>
      <c r="L203" t="s">
        <v>1036</v>
      </c>
    </row>
    <row r="204" spans="1:12" x14ac:dyDescent="0.2">
      <c r="A204">
        <v>9</v>
      </c>
      <c r="B204" t="s">
        <v>1047</v>
      </c>
      <c r="C204">
        <v>68</v>
      </c>
      <c r="D204" t="s">
        <v>1049</v>
      </c>
      <c r="E204">
        <v>1</v>
      </c>
      <c r="F204" t="s">
        <v>1069</v>
      </c>
      <c r="G204" t="str">
        <f>Tabla3[[#This Row],[IDCatPrin]]&amp;Tabla3[[#This Row],[IDSubCat]]&amp;Tabla3[[#This Row],[Iddetalle]]</f>
        <v>9681</v>
      </c>
      <c r="H204">
        <f>VLOOKUP(Tabla3[[#This Row],[Subcategoria]],$D$374:$E$493,2,0)</f>
        <v>68</v>
      </c>
      <c r="J204">
        <v>68</v>
      </c>
      <c r="K204">
        <v>1</v>
      </c>
      <c r="L204" t="s">
        <v>1069</v>
      </c>
    </row>
    <row r="205" spans="1:12" x14ac:dyDescent="0.2">
      <c r="A205">
        <v>9</v>
      </c>
      <c r="B205" t="s">
        <v>1047</v>
      </c>
      <c r="C205">
        <v>68</v>
      </c>
      <c r="D205" t="s">
        <v>1049</v>
      </c>
      <c r="E205">
        <v>2</v>
      </c>
      <c r="F205" t="s">
        <v>1070</v>
      </c>
      <c r="G205" t="str">
        <f>Tabla3[[#This Row],[IDCatPrin]]&amp;Tabla3[[#This Row],[IDSubCat]]&amp;Tabla3[[#This Row],[Iddetalle]]</f>
        <v>9682</v>
      </c>
      <c r="H205">
        <f>VLOOKUP(Tabla3[[#This Row],[Subcategoria]],$D$374:$E$493,2,0)</f>
        <v>68</v>
      </c>
      <c r="J205">
        <v>68</v>
      </c>
      <c r="K205">
        <v>2</v>
      </c>
      <c r="L205" t="s">
        <v>1070</v>
      </c>
    </row>
    <row r="206" spans="1:12" x14ac:dyDescent="0.2">
      <c r="A206">
        <v>9</v>
      </c>
      <c r="B206" t="s">
        <v>1047</v>
      </c>
      <c r="C206">
        <v>68</v>
      </c>
      <c r="D206" t="s">
        <v>1049</v>
      </c>
      <c r="E206">
        <v>3</v>
      </c>
      <c r="F206" t="s">
        <v>1071</v>
      </c>
      <c r="G206" t="str">
        <f>Tabla3[[#This Row],[IDCatPrin]]&amp;Tabla3[[#This Row],[IDSubCat]]&amp;Tabla3[[#This Row],[Iddetalle]]</f>
        <v>9683</v>
      </c>
      <c r="H206">
        <f>VLOOKUP(Tabla3[[#This Row],[Subcategoria]],$D$374:$E$493,2,0)</f>
        <v>68</v>
      </c>
      <c r="J206">
        <v>68</v>
      </c>
      <c r="K206">
        <v>3</v>
      </c>
      <c r="L206" t="s">
        <v>1071</v>
      </c>
    </row>
    <row r="207" spans="1:12" x14ac:dyDescent="0.2">
      <c r="A207">
        <v>9</v>
      </c>
      <c r="B207" t="s">
        <v>1047</v>
      </c>
      <c r="C207">
        <v>68</v>
      </c>
      <c r="D207" t="s">
        <v>1049</v>
      </c>
      <c r="E207">
        <v>4</v>
      </c>
      <c r="F207" t="s">
        <v>1072</v>
      </c>
      <c r="G207" t="str">
        <f>Tabla3[[#This Row],[IDCatPrin]]&amp;Tabla3[[#This Row],[IDSubCat]]&amp;Tabla3[[#This Row],[Iddetalle]]</f>
        <v>9684</v>
      </c>
      <c r="H207">
        <f>VLOOKUP(Tabla3[[#This Row],[Subcategoria]],$D$374:$E$493,2,0)</f>
        <v>68</v>
      </c>
      <c r="J207">
        <v>68</v>
      </c>
      <c r="K207">
        <v>4</v>
      </c>
      <c r="L207" t="s">
        <v>1072</v>
      </c>
    </row>
    <row r="208" spans="1:12" x14ac:dyDescent="0.2">
      <c r="A208">
        <v>9</v>
      </c>
      <c r="B208" t="s">
        <v>1047</v>
      </c>
      <c r="C208">
        <v>68</v>
      </c>
      <c r="D208" t="s">
        <v>1049</v>
      </c>
      <c r="E208">
        <v>5</v>
      </c>
      <c r="F208" t="s">
        <v>1073</v>
      </c>
      <c r="G208" t="str">
        <f>Tabla3[[#This Row],[IDCatPrin]]&amp;Tabla3[[#This Row],[IDSubCat]]&amp;Tabla3[[#This Row],[Iddetalle]]</f>
        <v>9685</v>
      </c>
      <c r="H208">
        <f>VLOOKUP(Tabla3[[#This Row],[Subcategoria]],$D$374:$E$493,2,0)</f>
        <v>68</v>
      </c>
      <c r="J208">
        <v>68</v>
      </c>
      <c r="K208">
        <v>5</v>
      </c>
      <c r="L208" t="s">
        <v>1073</v>
      </c>
    </row>
    <row r="209" spans="1:12" x14ac:dyDescent="0.2">
      <c r="A209">
        <v>9</v>
      </c>
      <c r="B209" t="s">
        <v>1047</v>
      </c>
      <c r="C209">
        <v>68</v>
      </c>
      <c r="D209" t="s">
        <v>1049</v>
      </c>
      <c r="E209">
        <v>6</v>
      </c>
      <c r="F209" t="s">
        <v>1074</v>
      </c>
      <c r="G209" t="str">
        <f>Tabla3[[#This Row],[IDCatPrin]]&amp;Tabla3[[#This Row],[IDSubCat]]&amp;Tabla3[[#This Row],[Iddetalle]]</f>
        <v>9686</v>
      </c>
      <c r="H209">
        <f>VLOOKUP(Tabla3[[#This Row],[Subcategoria]],$D$374:$E$493,2,0)</f>
        <v>68</v>
      </c>
      <c r="J209">
        <v>68</v>
      </c>
      <c r="K209">
        <v>6</v>
      </c>
      <c r="L209" t="s">
        <v>1074</v>
      </c>
    </row>
    <row r="210" spans="1:12" x14ac:dyDescent="0.2">
      <c r="A210">
        <v>9</v>
      </c>
      <c r="B210" t="s">
        <v>1047</v>
      </c>
      <c r="C210">
        <v>68</v>
      </c>
      <c r="D210" t="s">
        <v>1049</v>
      </c>
      <c r="E210">
        <v>7</v>
      </c>
      <c r="F210" t="s">
        <v>1075</v>
      </c>
      <c r="G210" t="str">
        <f>Tabla3[[#This Row],[IDCatPrin]]&amp;Tabla3[[#This Row],[IDSubCat]]&amp;Tabla3[[#This Row],[Iddetalle]]</f>
        <v>9687</v>
      </c>
      <c r="H210">
        <f>VLOOKUP(Tabla3[[#This Row],[Subcategoria]],$D$374:$E$493,2,0)</f>
        <v>68</v>
      </c>
      <c r="J210">
        <v>68</v>
      </c>
      <c r="K210">
        <v>7</v>
      </c>
      <c r="L210" t="s">
        <v>1075</v>
      </c>
    </row>
    <row r="211" spans="1:12" x14ac:dyDescent="0.2">
      <c r="A211">
        <v>9</v>
      </c>
      <c r="B211" t="s">
        <v>1047</v>
      </c>
      <c r="C211">
        <v>68</v>
      </c>
      <c r="D211" t="s">
        <v>1049</v>
      </c>
      <c r="E211">
        <v>8</v>
      </c>
      <c r="F211" t="s">
        <v>1076</v>
      </c>
      <c r="G211" t="str">
        <f>Tabla3[[#This Row],[IDCatPrin]]&amp;Tabla3[[#This Row],[IDSubCat]]&amp;Tabla3[[#This Row],[Iddetalle]]</f>
        <v>9688</v>
      </c>
      <c r="H211">
        <f>VLOOKUP(Tabla3[[#This Row],[Subcategoria]],$D$374:$E$493,2,0)</f>
        <v>68</v>
      </c>
      <c r="J211">
        <v>68</v>
      </c>
      <c r="K211">
        <v>8</v>
      </c>
      <c r="L211" t="s">
        <v>1076</v>
      </c>
    </row>
    <row r="212" spans="1:12" x14ac:dyDescent="0.2">
      <c r="A212">
        <v>9</v>
      </c>
      <c r="B212" t="s">
        <v>1047</v>
      </c>
      <c r="C212">
        <v>68</v>
      </c>
      <c r="D212" t="s">
        <v>1049</v>
      </c>
      <c r="E212">
        <v>9</v>
      </c>
      <c r="F212" t="s">
        <v>1077</v>
      </c>
      <c r="G212" t="str">
        <f>Tabla3[[#This Row],[IDCatPrin]]&amp;Tabla3[[#This Row],[IDSubCat]]&amp;Tabla3[[#This Row],[Iddetalle]]</f>
        <v>9689</v>
      </c>
      <c r="H212">
        <f>VLOOKUP(Tabla3[[#This Row],[Subcategoria]],$D$374:$E$493,2,0)</f>
        <v>68</v>
      </c>
      <c r="J212">
        <v>68</v>
      </c>
      <c r="K212">
        <v>9</v>
      </c>
      <c r="L212" t="s">
        <v>1077</v>
      </c>
    </row>
    <row r="213" spans="1:12" x14ac:dyDescent="0.2">
      <c r="A213">
        <v>9</v>
      </c>
      <c r="B213" t="s">
        <v>1047</v>
      </c>
      <c r="C213">
        <v>69</v>
      </c>
      <c r="D213" t="s">
        <v>1055</v>
      </c>
      <c r="E213">
        <v>1</v>
      </c>
      <c r="F213" t="s">
        <v>1101</v>
      </c>
      <c r="G213" t="str">
        <f>Tabla3[[#This Row],[IDCatPrin]]&amp;Tabla3[[#This Row],[IDSubCat]]&amp;Tabla3[[#This Row],[Iddetalle]]</f>
        <v>9691</v>
      </c>
      <c r="H213">
        <f>VLOOKUP(Tabla3[[#This Row],[Subcategoria]],$D$374:$E$493,2,0)</f>
        <v>69</v>
      </c>
      <c r="J213">
        <v>69</v>
      </c>
      <c r="K213">
        <v>1</v>
      </c>
      <c r="L213" t="s">
        <v>1101</v>
      </c>
    </row>
    <row r="214" spans="1:12" x14ac:dyDescent="0.2">
      <c r="A214">
        <v>9</v>
      </c>
      <c r="B214" t="s">
        <v>1047</v>
      </c>
      <c r="C214">
        <v>69</v>
      </c>
      <c r="D214" t="s">
        <v>1055</v>
      </c>
      <c r="E214">
        <v>2</v>
      </c>
      <c r="F214" t="s">
        <v>1102</v>
      </c>
      <c r="G214" t="str">
        <f>Tabla3[[#This Row],[IDCatPrin]]&amp;Tabla3[[#This Row],[IDSubCat]]&amp;Tabla3[[#This Row],[Iddetalle]]</f>
        <v>9692</v>
      </c>
      <c r="H214">
        <f>VLOOKUP(Tabla3[[#This Row],[Subcategoria]],$D$374:$E$493,2,0)</f>
        <v>69</v>
      </c>
      <c r="J214">
        <v>69</v>
      </c>
      <c r="K214">
        <v>2</v>
      </c>
      <c r="L214" t="s">
        <v>1102</v>
      </c>
    </row>
    <row r="215" spans="1:12" x14ac:dyDescent="0.2">
      <c r="A215">
        <v>9</v>
      </c>
      <c r="B215" t="s">
        <v>1047</v>
      </c>
      <c r="C215">
        <v>69</v>
      </c>
      <c r="D215" t="s">
        <v>1055</v>
      </c>
      <c r="E215">
        <v>3</v>
      </c>
      <c r="F215" t="s">
        <v>1103</v>
      </c>
      <c r="G215" t="str">
        <f>Tabla3[[#This Row],[IDCatPrin]]&amp;Tabla3[[#This Row],[IDSubCat]]&amp;Tabla3[[#This Row],[Iddetalle]]</f>
        <v>9693</v>
      </c>
      <c r="H215">
        <f>VLOOKUP(Tabla3[[#This Row],[Subcategoria]],$D$374:$E$493,2,0)</f>
        <v>69</v>
      </c>
      <c r="J215">
        <v>69</v>
      </c>
      <c r="K215">
        <v>3</v>
      </c>
      <c r="L215" t="s">
        <v>1103</v>
      </c>
    </row>
    <row r="216" spans="1:12" x14ac:dyDescent="0.2">
      <c r="A216">
        <v>9</v>
      </c>
      <c r="B216" t="s">
        <v>1047</v>
      </c>
      <c r="C216">
        <v>69</v>
      </c>
      <c r="D216" t="s">
        <v>1055</v>
      </c>
      <c r="E216">
        <v>4</v>
      </c>
      <c r="F216" t="s">
        <v>1104</v>
      </c>
      <c r="G216" t="str">
        <f>Tabla3[[#This Row],[IDCatPrin]]&amp;Tabla3[[#This Row],[IDSubCat]]&amp;Tabla3[[#This Row],[Iddetalle]]</f>
        <v>9694</v>
      </c>
      <c r="H216">
        <f>VLOOKUP(Tabla3[[#This Row],[Subcategoria]],$D$374:$E$493,2,0)</f>
        <v>69</v>
      </c>
      <c r="J216">
        <v>69</v>
      </c>
      <c r="K216">
        <v>4</v>
      </c>
      <c r="L216" t="s">
        <v>1104</v>
      </c>
    </row>
    <row r="217" spans="1:12" x14ac:dyDescent="0.2">
      <c r="A217">
        <v>9</v>
      </c>
      <c r="B217" t="s">
        <v>1047</v>
      </c>
      <c r="C217">
        <v>69</v>
      </c>
      <c r="D217" t="s">
        <v>1055</v>
      </c>
      <c r="E217">
        <v>5</v>
      </c>
      <c r="F217" t="s">
        <v>1105</v>
      </c>
      <c r="G217" t="str">
        <f>Tabla3[[#This Row],[IDCatPrin]]&amp;Tabla3[[#This Row],[IDSubCat]]&amp;Tabla3[[#This Row],[Iddetalle]]</f>
        <v>9695</v>
      </c>
      <c r="H217">
        <f>VLOOKUP(Tabla3[[#This Row],[Subcategoria]],$D$374:$E$493,2,0)</f>
        <v>69</v>
      </c>
      <c r="J217">
        <v>69</v>
      </c>
      <c r="K217">
        <v>5</v>
      </c>
      <c r="L217" t="s">
        <v>1105</v>
      </c>
    </row>
    <row r="218" spans="1:12" x14ac:dyDescent="0.2">
      <c r="A218">
        <v>9</v>
      </c>
      <c r="B218" t="s">
        <v>1047</v>
      </c>
      <c r="C218">
        <v>69</v>
      </c>
      <c r="D218" t="s">
        <v>1055</v>
      </c>
      <c r="E218">
        <v>6</v>
      </c>
      <c r="F218" t="s">
        <v>1106</v>
      </c>
      <c r="G218" t="str">
        <f>Tabla3[[#This Row],[IDCatPrin]]&amp;Tabla3[[#This Row],[IDSubCat]]&amp;Tabla3[[#This Row],[Iddetalle]]</f>
        <v>9696</v>
      </c>
      <c r="H218">
        <f>VLOOKUP(Tabla3[[#This Row],[Subcategoria]],$D$374:$E$493,2,0)</f>
        <v>69</v>
      </c>
      <c r="J218">
        <v>69</v>
      </c>
      <c r="K218">
        <v>6</v>
      </c>
      <c r="L218" t="s">
        <v>1106</v>
      </c>
    </row>
    <row r="219" spans="1:12" x14ac:dyDescent="0.2">
      <c r="A219">
        <v>11</v>
      </c>
      <c r="B219" t="s">
        <v>903</v>
      </c>
      <c r="C219">
        <v>70</v>
      </c>
      <c r="D219" t="s">
        <v>902</v>
      </c>
      <c r="E219">
        <v>1</v>
      </c>
      <c r="F219" t="s">
        <v>921</v>
      </c>
      <c r="G219" t="str">
        <f>Tabla3[[#This Row],[IDCatPrin]]&amp;Tabla3[[#This Row],[IDSubCat]]&amp;Tabla3[[#This Row],[Iddetalle]]</f>
        <v>11701</v>
      </c>
      <c r="H219">
        <f>VLOOKUP(Tabla3[[#This Row],[Subcategoria]],$D$374:$E$493,2,0)</f>
        <v>70</v>
      </c>
      <c r="J219">
        <v>70</v>
      </c>
      <c r="K219">
        <v>1</v>
      </c>
      <c r="L219" t="s">
        <v>921</v>
      </c>
    </row>
    <row r="220" spans="1:12" x14ac:dyDescent="0.2">
      <c r="A220">
        <v>11</v>
      </c>
      <c r="B220" t="s">
        <v>903</v>
      </c>
      <c r="C220">
        <v>70</v>
      </c>
      <c r="D220" t="s">
        <v>902</v>
      </c>
      <c r="E220">
        <v>2</v>
      </c>
      <c r="F220" t="s">
        <v>922</v>
      </c>
      <c r="G220" t="str">
        <f>Tabla3[[#This Row],[IDCatPrin]]&amp;Tabla3[[#This Row],[IDSubCat]]&amp;Tabla3[[#This Row],[Iddetalle]]</f>
        <v>11702</v>
      </c>
      <c r="H220">
        <f>VLOOKUP(Tabla3[[#This Row],[Subcategoria]],$D$374:$E$493,2,0)</f>
        <v>70</v>
      </c>
      <c r="J220">
        <v>70</v>
      </c>
      <c r="K220">
        <v>2</v>
      </c>
      <c r="L220" t="s">
        <v>922</v>
      </c>
    </row>
    <row r="221" spans="1:12" x14ac:dyDescent="0.2">
      <c r="A221">
        <v>11</v>
      </c>
      <c r="B221" t="s">
        <v>903</v>
      </c>
      <c r="C221">
        <v>70</v>
      </c>
      <c r="D221" t="s">
        <v>902</v>
      </c>
      <c r="E221">
        <v>3</v>
      </c>
      <c r="F221" t="s">
        <v>923</v>
      </c>
      <c r="G221" t="str">
        <f>Tabla3[[#This Row],[IDCatPrin]]&amp;Tabla3[[#This Row],[IDSubCat]]&amp;Tabla3[[#This Row],[Iddetalle]]</f>
        <v>11703</v>
      </c>
      <c r="H221">
        <f>VLOOKUP(Tabla3[[#This Row],[Subcategoria]],$D$374:$E$493,2,0)</f>
        <v>70</v>
      </c>
      <c r="J221">
        <v>70</v>
      </c>
      <c r="K221">
        <v>3</v>
      </c>
      <c r="L221" t="s">
        <v>923</v>
      </c>
    </row>
    <row r="222" spans="1:12" x14ac:dyDescent="0.2">
      <c r="A222">
        <v>11</v>
      </c>
      <c r="B222" t="s">
        <v>903</v>
      </c>
      <c r="C222">
        <v>70</v>
      </c>
      <c r="D222" t="s">
        <v>902</v>
      </c>
      <c r="E222">
        <v>4</v>
      </c>
      <c r="F222" t="s">
        <v>924</v>
      </c>
      <c r="G222" t="str">
        <f>Tabla3[[#This Row],[IDCatPrin]]&amp;Tabla3[[#This Row],[IDSubCat]]&amp;Tabla3[[#This Row],[Iddetalle]]</f>
        <v>11704</v>
      </c>
      <c r="H222">
        <f>VLOOKUP(Tabla3[[#This Row],[Subcategoria]],$D$374:$E$493,2,0)</f>
        <v>70</v>
      </c>
      <c r="J222">
        <v>70</v>
      </c>
      <c r="K222">
        <v>4</v>
      </c>
      <c r="L222" t="s">
        <v>924</v>
      </c>
    </row>
    <row r="223" spans="1:12" x14ac:dyDescent="0.2">
      <c r="A223">
        <v>12</v>
      </c>
      <c r="B223" t="s">
        <v>972</v>
      </c>
      <c r="C223">
        <v>71</v>
      </c>
      <c r="D223" t="s">
        <v>969</v>
      </c>
      <c r="E223">
        <v>1</v>
      </c>
      <c r="F223" t="s">
        <v>1004</v>
      </c>
      <c r="G223" t="str">
        <f>Tabla3[[#This Row],[IDCatPrin]]&amp;Tabla3[[#This Row],[IDSubCat]]&amp;Tabla3[[#This Row],[Iddetalle]]</f>
        <v>12711</v>
      </c>
      <c r="H223">
        <f>VLOOKUP(Tabla3[[#This Row],[Subcategoria]],$D$374:$E$493,2,0)</f>
        <v>71</v>
      </c>
      <c r="J223">
        <v>71</v>
      </c>
      <c r="K223">
        <v>1</v>
      </c>
      <c r="L223" t="s">
        <v>1004</v>
      </c>
    </row>
    <row r="224" spans="1:12" x14ac:dyDescent="0.2">
      <c r="A224">
        <v>10</v>
      </c>
      <c r="B224" t="s">
        <v>840</v>
      </c>
      <c r="C224">
        <v>72</v>
      </c>
      <c r="D224" t="s">
        <v>820</v>
      </c>
      <c r="E224">
        <v>1</v>
      </c>
      <c r="F224" t="s">
        <v>826</v>
      </c>
      <c r="G224" t="str">
        <f>Tabla3[[#This Row],[IDCatPrin]]&amp;Tabla3[[#This Row],[IDSubCat]]&amp;Tabla3[[#This Row],[Iddetalle]]</f>
        <v>10721</v>
      </c>
      <c r="H224">
        <f>VLOOKUP(Tabla3[[#This Row],[Subcategoria]],$D$374:$E$493,2,0)</f>
        <v>72</v>
      </c>
      <c r="J224">
        <v>72</v>
      </c>
      <c r="K224">
        <v>1</v>
      </c>
      <c r="L224" t="s">
        <v>826</v>
      </c>
    </row>
    <row r="225" spans="1:12" x14ac:dyDescent="0.2">
      <c r="A225">
        <v>10</v>
      </c>
      <c r="B225" t="s">
        <v>840</v>
      </c>
      <c r="C225">
        <v>72</v>
      </c>
      <c r="D225" t="s">
        <v>820</v>
      </c>
      <c r="E225">
        <v>2</v>
      </c>
      <c r="F225" t="s">
        <v>827</v>
      </c>
      <c r="G225" t="str">
        <f>Tabla3[[#This Row],[IDCatPrin]]&amp;Tabla3[[#This Row],[IDSubCat]]&amp;Tabla3[[#This Row],[Iddetalle]]</f>
        <v>10722</v>
      </c>
      <c r="H225">
        <f>VLOOKUP(Tabla3[[#This Row],[Subcategoria]],$D$374:$E$493,2,0)</f>
        <v>72</v>
      </c>
      <c r="J225">
        <v>72</v>
      </c>
      <c r="K225">
        <v>2</v>
      </c>
      <c r="L225" t="s">
        <v>827</v>
      </c>
    </row>
    <row r="226" spans="1:12" x14ac:dyDescent="0.2">
      <c r="A226">
        <v>10</v>
      </c>
      <c r="B226" t="s">
        <v>840</v>
      </c>
      <c r="C226">
        <v>72</v>
      </c>
      <c r="D226" t="s">
        <v>820</v>
      </c>
      <c r="E226">
        <v>3</v>
      </c>
      <c r="F226" t="s">
        <v>828</v>
      </c>
      <c r="G226" t="str">
        <f>Tabla3[[#This Row],[IDCatPrin]]&amp;Tabla3[[#This Row],[IDSubCat]]&amp;Tabla3[[#This Row],[Iddetalle]]</f>
        <v>10723</v>
      </c>
      <c r="H226">
        <f>VLOOKUP(Tabla3[[#This Row],[Subcategoria]],$D$374:$E$493,2,0)</f>
        <v>72</v>
      </c>
      <c r="J226">
        <v>72</v>
      </c>
      <c r="K226">
        <v>3</v>
      </c>
      <c r="L226" t="s">
        <v>828</v>
      </c>
    </row>
    <row r="227" spans="1:12" x14ac:dyDescent="0.2">
      <c r="A227">
        <v>3</v>
      </c>
      <c r="B227" t="s">
        <v>1008</v>
      </c>
      <c r="C227">
        <v>73</v>
      </c>
      <c r="D227" t="s">
        <v>1014</v>
      </c>
      <c r="E227">
        <v>1</v>
      </c>
      <c r="F227" t="s">
        <v>1046</v>
      </c>
      <c r="G227" t="str">
        <f>Tabla3[[#This Row],[IDCatPrin]]&amp;Tabla3[[#This Row],[IDSubCat]]&amp;Tabla3[[#This Row],[Iddetalle]]</f>
        <v>3731</v>
      </c>
      <c r="H227">
        <f>VLOOKUP(Tabla3[[#This Row],[Subcategoria]],$D$374:$E$493,2,0)</f>
        <v>73</v>
      </c>
      <c r="J227">
        <v>73</v>
      </c>
      <c r="K227">
        <v>1</v>
      </c>
      <c r="L227" t="s">
        <v>1046</v>
      </c>
    </row>
    <row r="228" spans="1:12" x14ac:dyDescent="0.2">
      <c r="A228">
        <v>9</v>
      </c>
      <c r="B228" t="s">
        <v>1047</v>
      </c>
      <c r="C228">
        <v>74</v>
      </c>
      <c r="D228" t="s">
        <v>1058</v>
      </c>
      <c r="E228">
        <v>1</v>
      </c>
      <c r="F228" t="s">
        <v>1108</v>
      </c>
      <c r="G228" t="str">
        <f>Tabla3[[#This Row],[IDCatPrin]]&amp;Tabla3[[#This Row],[IDSubCat]]&amp;Tabla3[[#This Row],[Iddetalle]]</f>
        <v>9741</v>
      </c>
      <c r="H228">
        <f>VLOOKUP(Tabla3[[#This Row],[Subcategoria]],$D$374:$E$493,2,0)</f>
        <v>74</v>
      </c>
      <c r="J228">
        <v>74</v>
      </c>
      <c r="K228">
        <v>1</v>
      </c>
      <c r="L228" t="s">
        <v>1108</v>
      </c>
    </row>
    <row r="229" spans="1:12" x14ac:dyDescent="0.2">
      <c r="A229">
        <v>12</v>
      </c>
      <c r="B229" t="s">
        <v>972</v>
      </c>
      <c r="C229">
        <v>75</v>
      </c>
      <c r="D229" t="s">
        <v>966</v>
      </c>
      <c r="E229">
        <v>1</v>
      </c>
      <c r="F229" t="s">
        <v>1000</v>
      </c>
      <c r="G229" t="str">
        <f>Tabla3[[#This Row],[IDCatPrin]]&amp;Tabla3[[#This Row],[IDSubCat]]&amp;Tabla3[[#This Row],[Iddetalle]]</f>
        <v>12751</v>
      </c>
      <c r="H229">
        <f>VLOOKUP(Tabla3[[#This Row],[Subcategoria]],$D$374:$E$493,2,0)</f>
        <v>75</v>
      </c>
      <c r="J229">
        <v>75</v>
      </c>
      <c r="K229">
        <v>1</v>
      </c>
      <c r="L229" t="s">
        <v>1000</v>
      </c>
    </row>
    <row r="230" spans="1:12" x14ac:dyDescent="0.2">
      <c r="A230">
        <v>12</v>
      </c>
      <c r="B230" t="s">
        <v>972</v>
      </c>
      <c r="C230">
        <v>75</v>
      </c>
      <c r="D230" t="s">
        <v>966</v>
      </c>
      <c r="E230">
        <v>2</v>
      </c>
      <c r="F230" t="s">
        <v>1001</v>
      </c>
      <c r="G230" t="str">
        <f>Tabla3[[#This Row],[IDCatPrin]]&amp;Tabla3[[#This Row],[IDSubCat]]&amp;Tabla3[[#This Row],[Iddetalle]]</f>
        <v>12752</v>
      </c>
      <c r="H230">
        <f>VLOOKUP(Tabla3[[#This Row],[Subcategoria]],$D$374:$E$493,2,0)</f>
        <v>75</v>
      </c>
      <c r="J230">
        <v>75</v>
      </c>
      <c r="K230">
        <v>2</v>
      </c>
      <c r="L230" t="s">
        <v>1001</v>
      </c>
    </row>
    <row r="231" spans="1:12" x14ac:dyDescent="0.2">
      <c r="A231">
        <v>1</v>
      </c>
      <c r="B231" t="s">
        <v>713</v>
      </c>
      <c r="C231">
        <v>76</v>
      </c>
      <c r="D231" t="s">
        <v>732</v>
      </c>
      <c r="E231">
        <v>1</v>
      </c>
      <c r="F231" t="s">
        <v>817</v>
      </c>
      <c r="G231" t="str">
        <f>Tabla3[[#This Row],[IDCatPrin]]&amp;Tabla3[[#This Row],[IDSubCat]]&amp;Tabla3[[#This Row],[Iddetalle]]</f>
        <v>1761</v>
      </c>
      <c r="H231">
        <f>VLOOKUP(Tabla3[[#This Row],[Subcategoria]],$D$374:$E$493,2,0)</f>
        <v>76</v>
      </c>
      <c r="J231">
        <v>76</v>
      </c>
      <c r="K231">
        <v>1</v>
      </c>
      <c r="L231" t="s">
        <v>819</v>
      </c>
    </row>
    <row r="232" spans="1:12" x14ac:dyDescent="0.2">
      <c r="A232">
        <v>1</v>
      </c>
      <c r="B232" t="s">
        <v>713</v>
      </c>
      <c r="C232">
        <v>76</v>
      </c>
      <c r="D232" t="s">
        <v>732</v>
      </c>
      <c r="E232">
        <v>2</v>
      </c>
      <c r="F232" t="s">
        <v>818</v>
      </c>
      <c r="G232" t="str">
        <f>Tabla3[[#This Row],[IDCatPrin]]&amp;Tabla3[[#This Row],[IDSubCat]]&amp;Tabla3[[#This Row],[Iddetalle]]</f>
        <v>1762</v>
      </c>
      <c r="H232">
        <f>VLOOKUP(Tabla3[[#This Row],[Subcategoria]],$D$374:$E$493,2,0)</f>
        <v>76</v>
      </c>
      <c r="J232">
        <v>76</v>
      </c>
      <c r="K232">
        <v>1</v>
      </c>
      <c r="L232" t="s">
        <v>817</v>
      </c>
    </row>
    <row r="233" spans="1:12" x14ac:dyDescent="0.2">
      <c r="A233">
        <v>1</v>
      </c>
      <c r="B233" t="s">
        <v>713</v>
      </c>
      <c r="C233">
        <v>76</v>
      </c>
      <c r="D233" t="s">
        <v>732</v>
      </c>
      <c r="E233">
        <v>3</v>
      </c>
      <c r="F233" t="s">
        <v>819</v>
      </c>
      <c r="G233" t="str">
        <f>Tabla3[[#This Row],[IDCatPrin]]&amp;Tabla3[[#This Row],[IDSubCat]]&amp;Tabla3[[#This Row],[Iddetalle]]</f>
        <v>1763</v>
      </c>
      <c r="H233">
        <f>VLOOKUP(Tabla3[[#This Row],[Subcategoria]],$D$374:$E$493,2,0)</f>
        <v>76</v>
      </c>
      <c r="J233">
        <v>76</v>
      </c>
      <c r="K233">
        <v>2</v>
      </c>
      <c r="L233" t="s">
        <v>818</v>
      </c>
    </row>
    <row r="234" spans="1:12" x14ac:dyDescent="0.2">
      <c r="A234">
        <v>11</v>
      </c>
      <c r="B234" t="s">
        <v>903</v>
      </c>
      <c r="C234">
        <v>76</v>
      </c>
      <c r="D234" t="s">
        <v>732</v>
      </c>
      <c r="E234">
        <v>1</v>
      </c>
      <c r="F234" t="s">
        <v>819</v>
      </c>
      <c r="G234" t="str">
        <f>Tabla3[[#This Row],[IDCatPrin]]&amp;Tabla3[[#This Row],[IDSubCat]]&amp;Tabla3[[#This Row],[Iddetalle]]</f>
        <v>11761</v>
      </c>
      <c r="H234">
        <f>VLOOKUP(Tabla3[[#This Row],[Subcategoria]],$D$374:$E$493,2,0)</f>
        <v>76</v>
      </c>
      <c r="J234">
        <v>76</v>
      </c>
      <c r="K234">
        <v>2</v>
      </c>
      <c r="L234" t="s">
        <v>914</v>
      </c>
    </row>
    <row r="235" spans="1:12" x14ac:dyDescent="0.2">
      <c r="A235">
        <v>11</v>
      </c>
      <c r="B235" t="s">
        <v>903</v>
      </c>
      <c r="C235">
        <v>76</v>
      </c>
      <c r="D235" t="s">
        <v>732</v>
      </c>
      <c r="E235">
        <v>2</v>
      </c>
      <c r="F235" t="s">
        <v>914</v>
      </c>
      <c r="G235" t="str">
        <f>Tabla3[[#This Row],[IDCatPrin]]&amp;Tabla3[[#This Row],[IDSubCat]]&amp;Tabla3[[#This Row],[Iddetalle]]</f>
        <v>11762</v>
      </c>
      <c r="H235">
        <f>VLOOKUP(Tabla3[[#This Row],[Subcategoria]],$D$374:$E$493,2,0)</f>
        <v>76</v>
      </c>
      <c r="J235">
        <v>76</v>
      </c>
      <c r="K235">
        <v>3</v>
      </c>
      <c r="L235" t="s">
        <v>819</v>
      </c>
    </row>
    <row r="236" spans="1:12" x14ac:dyDescent="0.2">
      <c r="A236">
        <v>11</v>
      </c>
      <c r="B236" t="s">
        <v>903</v>
      </c>
      <c r="C236">
        <v>76</v>
      </c>
      <c r="D236" t="s">
        <v>732</v>
      </c>
      <c r="E236">
        <v>3</v>
      </c>
      <c r="F236" t="s">
        <v>817</v>
      </c>
      <c r="G236" t="str">
        <f>Tabla3[[#This Row],[IDCatPrin]]&amp;Tabla3[[#This Row],[IDSubCat]]&amp;Tabla3[[#This Row],[Iddetalle]]</f>
        <v>11763</v>
      </c>
      <c r="H236">
        <f>VLOOKUP(Tabla3[[#This Row],[Subcategoria]],$D$374:$E$493,2,0)</f>
        <v>76</v>
      </c>
      <c r="J236">
        <v>76</v>
      </c>
      <c r="K236">
        <v>3</v>
      </c>
      <c r="L236" t="s">
        <v>817</v>
      </c>
    </row>
    <row r="237" spans="1:12" x14ac:dyDescent="0.2">
      <c r="A237">
        <v>11</v>
      </c>
      <c r="B237" t="s">
        <v>903</v>
      </c>
      <c r="C237">
        <v>76</v>
      </c>
      <c r="D237" t="s">
        <v>732</v>
      </c>
      <c r="E237">
        <v>4</v>
      </c>
      <c r="F237" t="s">
        <v>915</v>
      </c>
      <c r="G237" t="str">
        <f>Tabla3[[#This Row],[IDCatPrin]]&amp;Tabla3[[#This Row],[IDSubCat]]&amp;Tabla3[[#This Row],[Iddetalle]]</f>
        <v>11764</v>
      </c>
      <c r="H237">
        <f>VLOOKUP(Tabla3[[#This Row],[Subcategoria]],$D$374:$E$493,2,0)</f>
        <v>76</v>
      </c>
      <c r="J237">
        <v>76</v>
      </c>
      <c r="K237">
        <v>4</v>
      </c>
      <c r="L237" t="s">
        <v>915</v>
      </c>
    </row>
    <row r="238" spans="1:12" x14ac:dyDescent="0.2">
      <c r="A238">
        <v>11</v>
      </c>
      <c r="B238" t="s">
        <v>903</v>
      </c>
      <c r="C238">
        <v>76</v>
      </c>
      <c r="D238" t="s">
        <v>732</v>
      </c>
      <c r="E238">
        <v>5</v>
      </c>
      <c r="F238" t="s">
        <v>916</v>
      </c>
      <c r="G238" t="str">
        <f>Tabla3[[#This Row],[IDCatPrin]]&amp;Tabla3[[#This Row],[IDSubCat]]&amp;Tabla3[[#This Row],[Iddetalle]]</f>
        <v>11765</v>
      </c>
      <c r="H238">
        <f>VLOOKUP(Tabla3[[#This Row],[Subcategoria]],$D$374:$E$493,2,0)</f>
        <v>76</v>
      </c>
      <c r="J238">
        <v>76</v>
      </c>
      <c r="K238">
        <v>5</v>
      </c>
      <c r="L238" t="s">
        <v>916</v>
      </c>
    </row>
    <row r="239" spans="1:12" x14ac:dyDescent="0.2">
      <c r="A239">
        <v>11</v>
      </c>
      <c r="B239" t="s">
        <v>903</v>
      </c>
      <c r="C239">
        <v>76</v>
      </c>
      <c r="D239" t="s">
        <v>732</v>
      </c>
      <c r="E239">
        <v>6</v>
      </c>
      <c r="F239" t="s">
        <v>917</v>
      </c>
      <c r="G239" t="str">
        <f>Tabla3[[#This Row],[IDCatPrin]]&amp;Tabla3[[#This Row],[IDSubCat]]&amp;Tabla3[[#This Row],[Iddetalle]]</f>
        <v>11766</v>
      </c>
      <c r="H239">
        <f>VLOOKUP(Tabla3[[#This Row],[Subcategoria]],$D$374:$E$493,2,0)</f>
        <v>76</v>
      </c>
      <c r="J239">
        <v>76</v>
      </c>
      <c r="K239">
        <v>6</v>
      </c>
      <c r="L239" t="s">
        <v>917</v>
      </c>
    </row>
    <row r="240" spans="1:12" x14ac:dyDescent="0.2">
      <c r="A240">
        <v>11</v>
      </c>
      <c r="B240" t="s">
        <v>903</v>
      </c>
      <c r="C240">
        <v>76</v>
      </c>
      <c r="D240" t="s">
        <v>732</v>
      </c>
      <c r="E240">
        <v>7</v>
      </c>
      <c r="F240" t="s">
        <v>818</v>
      </c>
      <c r="G240" t="str">
        <f>Tabla3[[#This Row],[IDCatPrin]]&amp;Tabla3[[#This Row],[IDSubCat]]&amp;Tabla3[[#This Row],[Iddetalle]]</f>
        <v>11767</v>
      </c>
      <c r="H240">
        <f>VLOOKUP(Tabla3[[#This Row],[Subcategoria]],$D$374:$E$493,2,0)</f>
        <v>76</v>
      </c>
      <c r="J240">
        <v>76</v>
      </c>
      <c r="K240">
        <v>7</v>
      </c>
      <c r="L240" t="s">
        <v>818</v>
      </c>
    </row>
    <row r="241" spans="1:12" x14ac:dyDescent="0.2">
      <c r="A241">
        <v>5</v>
      </c>
      <c r="B241" t="s">
        <v>841</v>
      </c>
      <c r="C241">
        <v>78</v>
      </c>
      <c r="D241" t="s">
        <v>843</v>
      </c>
      <c r="E241">
        <v>1</v>
      </c>
      <c r="F241" t="s">
        <v>852</v>
      </c>
      <c r="G241" t="str">
        <f>Tabla3[[#This Row],[IDCatPrin]]&amp;Tabla3[[#This Row],[IDSubCat]]&amp;Tabla3[[#This Row],[Iddetalle]]</f>
        <v>5781</v>
      </c>
      <c r="H241">
        <f>VLOOKUP(Tabla3[[#This Row],[Subcategoria]],$D$374:$E$493,2,0)</f>
        <v>78</v>
      </c>
      <c r="J241">
        <v>78</v>
      </c>
      <c r="K241">
        <v>1</v>
      </c>
      <c r="L241" t="s">
        <v>852</v>
      </c>
    </row>
    <row r="242" spans="1:12" x14ac:dyDescent="0.2">
      <c r="A242">
        <v>5</v>
      </c>
      <c r="B242" t="s">
        <v>841</v>
      </c>
      <c r="C242">
        <v>78</v>
      </c>
      <c r="D242" t="s">
        <v>843</v>
      </c>
      <c r="E242">
        <v>2</v>
      </c>
      <c r="F242" t="s">
        <v>853</v>
      </c>
      <c r="G242" t="str">
        <f>Tabla3[[#This Row],[IDCatPrin]]&amp;Tabla3[[#This Row],[IDSubCat]]&amp;Tabla3[[#This Row],[Iddetalle]]</f>
        <v>5782</v>
      </c>
      <c r="H242">
        <f>VLOOKUP(Tabla3[[#This Row],[Subcategoria]],$D$374:$E$493,2,0)</f>
        <v>78</v>
      </c>
      <c r="J242">
        <v>78</v>
      </c>
      <c r="K242">
        <v>2</v>
      </c>
      <c r="L242" t="s">
        <v>853</v>
      </c>
    </row>
    <row r="243" spans="1:12" x14ac:dyDescent="0.2">
      <c r="A243">
        <v>5</v>
      </c>
      <c r="B243" t="s">
        <v>841</v>
      </c>
      <c r="C243">
        <v>78</v>
      </c>
      <c r="D243" t="s">
        <v>843</v>
      </c>
      <c r="E243">
        <v>3</v>
      </c>
      <c r="F243" t="s">
        <v>854</v>
      </c>
      <c r="G243" t="str">
        <f>Tabla3[[#This Row],[IDCatPrin]]&amp;Tabla3[[#This Row],[IDSubCat]]&amp;Tabla3[[#This Row],[Iddetalle]]</f>
        <v>5783</v>
      </c>
      <c r="H243">
        <f>VLOOKUP(Tabla3[[#This Row],[Subcategoria]],$D$374:$E$493,2,0)</f>
        <v>78</v>
      </c>
      <c r="J243">
        <v>78</v>
      </c>
      <c r="K243">
        <v>3</v>
      </c>
      <c r="L243" t="s">
        <v>854</v>
      </c>
    </row>
    <row r="244" spans="1:12" x14ac:dyDescent="0.2">
      <c r="A244">
        <v>5</v>
      </c>
      <c r="B244" t="s">
        <v>841</v>
      </c>
      <c r="C244">
        <v>78</v>
      </c>
      <c r="D244" t="s">
        <v>843</v>
      </c>
      <c r="E244">
        <v>4</v>
      </c>
      <c r="F244" t="s">
        <v>855</v>
      </c>
      <c r="G244" t="str">
        <f>Tabla3[[#This Row],[IDCatPrin]]&amp;Tabla3[[#This Row],[IDSubCat]]&amp;Tabla3[[#This Row],[Iddetalle]]</f>
        <v>5784</v>
      </c>
      <c r="H244">
        <f>VLOOKUP(Tabla3[[#This Row],[Subcategoria]],$D$374:$E$493,2,0)</f>
        <v>78</v>
      </c>
      <c r="J244">
        <v>78</v>
      </c>
      <c r="K244">
        <v>4</v>
      </c>
      <c r="L244" t="s">
        <v>855</v>
      </c>
    </row>
    <row r="245" spans="1:12" x14ac:dyDescent="0.2">
      <c r="A245">
        <v>5</v>
      </c>
      <c r="B245" t="s">
        <v>841</v>
      </c>
      <c r="C245">
        <v>78</v>
      </c>
      <c r="D245" t="s">
        <v>843</v>
      </c>
      <c r="E245">
        <v>5</v>
      </c>
      <c r="F245" t="s">
        <v>856</v>
      </c>
      <c r="G245" t="str">
        <f>Tabla3[[#This Row],[IDCatPrin]]&amp;Tabla3[[#This Row],[IDSubCat]]&amp;Tabla3[[#This Row],[Iddetalle]]</f>
        <v>5785</v>
      </c>
      <c r="H245">
        <f>VLOOKUP(Tabla3[[#This Row],[Subcategoria]],$D$374:$E$493,2,0)</f>
        <v>78</v>
      </c>
      <c r="J245">
        <v>78</v>
      </c>
      <c r="K245">
        <v>5</v>
      </c>
      <c r="L245" t="s">
        <v>856</v>
      </c>
    </row>
    <row r="246" spans="1:12" x14ac:dyDescent="0.2">
      <c r="A246">
        <v>5</v>
      </c>
      <c r="B246" t="s">
        <v>841</v>
      </c>
      <c r="C246">
        <v>78</v>
      </c>
      <c r="D246" t="s">
        <v>843</v>
      </c>
      <c r="E246">
        <v>6</v>
      </c>
      <c r="F246" t="s">
        <v>857</v>
      </c>
      <c r="G246" t="str">
        <f>Tabla3[[#This Row],[IDCatPrin]]&amp;Tabla3[[#This Row],[IDSubCat]]&amp;Tabla3[[#This Row],[Iddetalle]]</f>
        <v>5786</v>
      </c>
      <c r="H246">
        <f>VLOOKUP(Tabla3[[#This Row],[Subcategoria]],$D$374:$E$493,2,0)</f>
        <v>78</v>
      </c>
      <c r="J246">
        <v>78</v>
      </c>
      <c r="K246">
        <v>6</v>
      </c>
      <c r="L246" t="s">
        <v>857</v>
      </c>
    </row>
    <row r="247" spans="1:12" x14ac:dyDescent="0.2">
      <c r="A247">
        <v>5</v>
      </c>
      <c r="B247" t="s">
        <v>841</v>
      </c>
      <c r="C247">
        <v>78</v>
      </c>
      <c r="D247" t="s">
        <v>843</v>
      </c>
      <c r="E247">
        <v>7</v>
      </c>
      <c r="F247" t="s">
        <v>858</v>
      </c>
      <c r="G247" t="str">
        <f>Tabla3[[#This Row],[IDCatPrin]]&amp;Tabla3[[#This Row],[IDSubCat]]&amp;Tabla3[[#This Row],[Iddetalle]]</f>
        <v>5787</v>
      </c>
      <c r="H247">
        <f>VLOOKUP(Tabla3[[#This Row],[Subcategoria]],$D$374:$E$493,2,0)</f>
        <v>78</v>
      </c>
      <c r="J247">
        <v>78</v>
      </c>
      <c r="K247">
        <v>7</v>
      </c>
      <c r="L247" t="s">
        <v>858</v>
      </c>
    </row>
    <row r="248" spans="1:12" x14ac:dyDescent="0.2">
      <c r="A248">
        <v>12</v>
      </c>
      <c r="B248" t="s">
        <v>972</v>
      </c>
      <c r="C248">
        <v>79</v>
      </c>
      <c r="D248" t="s">
        <v>960</v>
      </c>
      <c r="E248">
        <v>1</v>
      </c>
      <c r="F248" t="s">
        <v>973</v>
      </c>
      <c r="G248" t="str">
        <f>Tabla3[[#This Row],[IDCatPrin]]&amp;Tabla3[[#This Row],[IDSubCat]]&amp;Tabla3[[#This Row],[Iddetalle]]</f>
        <v>12791</v>
      </c>
      <c r="H248">
        <f>VLOOKUP(Tabla3[[#This Row],[Subcategoria]],$D$374:$E$493,2,0)</f>
        <v>79</v>
      </c>
      <c r="J248">
        <v>79</v>
      </c>
      <c r="K248">
        <v>1</v>
      </c>
      <c r="L248" t="s">
        <v>973</v>
      </c>
    </row>
    <row r="249" spans="1:12" x14ac:dyDescent="0.2">
      <c r="A249">
        <v>12</v>
      </c>
      <c r="B249" t="s">
        <v>972</v>
      </c>
      <c r="C249">
        <v>79</v>
      </c>
      <c r="D249" t="s">
        <v>960</v>
      </c>
      <c r="E249">
        <v>2</v>
      </c>
      <c r="F249" t="s">
        <v>974</v>
      </c>
      <c r="G249" t="str">
        <f>Tabla3[[#This Row],[IDCatPrin]]&amp;Tabla3[[#This Row],[IDSubCat]]&amp;Tabla3[[#This Row],[Iddetalle]]</f>
        <v>12792</v>
      </c>
      <c r="H249">
        <f>VLOOKUP(Tabla3[[#This Row],[Subcategoria]],$D$374:$E$493,2,0)</f>
        <v>79</v>
      </c>
      <c r="J249">
        <v>79</v>
      </c>
      <c r="K249">
        <v>2</v>
      </c>
      <c r="L249" t="s">
        <v>974</v>
      </c>
    </row>
    <row r="250" spans="1:12" x14ac:dyDescent="0.2">
      <c r="A250">
        <v>12</v>
      </c>
      <c r="B250" t="s">
        <v>972</v>
      </c>
      <c r="C250">
        <v>79</v>
      </c>
      <c r="D250" t="s">
        <v>960</v>
      </c>
      <c r="E250">
        <v>3</v>
      </c>
      <c r="F250" t="s">
        <v>975</v>
      </c>
      <c r="G250" t="str">
        <f>Tabla3[[#This Row],[IDCatPrin]]&amp;Tabla3[[#This Row],[IDSubCat]]&amp;Tabla3[[#This Row],[Iddetalle]]</f>
        <v>12793</v>
      </c>
      <c r="H250">
        <f>VLOOKUP(Tabla3[[#This Row],[Subcategoria]],$D$374:$E$493,2,0)</f>
        <v>79</v>
      </c>
      <c r="J250">
        <v>79</v>
      </c>
      <c r="K250">
        <v>3</v>
      </c>
      <c r="L250" t="s">
        <v>975</v>
      </c>
    </row>
    <row r="251" spans="1:12" x14ac:dyDescent="0.2">
      <c r="A251">
        <v>12</v>
      </c>
      <c r="B251" t="s">
        <v>972</v>
      </c>
      <c r="C251">
        <v>79</v>
      </c>
      <c r="D251" t="s">
        <v>960</v>
      </c>
      <c r="E251">
        <v>4</v>
      </c>
      <c r="F251" t="s">
        <v>976</v>
      </c>
      <c r="G251" t="str">
        <f>Tabla3[[#This Row],[IDCatPrin]]&amp;Tabla3[[#This Row],[IDSubCat]]&amp;Tabla3[[#This Row],[Iddetalle]]</f>
        <v>12794</v>
      </c>
      <c r="H251">
        <f>VLOOKUP(Tabla3[[#This Row],[Subcategoria]],$D$374:$E$493,2,0)</f>
        <v>79</v>
      </c>
      <c r="J251">
        <v>79</v>
      </c>
      <c r="K251">
        <v>4</v>
      </c>
      <c r="L251" t="s">
        <v>976</v>
      </c>
    </row>
    <row r="252" spans="1:12" x14ac:dyDescent="0.2">
      <c r="A252">
        <v>12</v>
      </c>
      <c r="B252" t="s">
        <v>972</v>
      </c>
      <c r="C252">
        <v>79</v>
      </c>
      <c r="D252" t="s">
        <v>960</v>
      </c>
      <c r="E252">
        <v>5</v>
      </c>
      <c r="F252" t="s">
        <v>977</v>
      </c>
      <c r="G252" t="str">
        <f>Tabla3[[#This Row],[IDCatPrin]]&amp;Tabla3[[#This Row],[IDSubCat]]&amp;Tabla3[[#This Row],[Iddetalle]]</f>
        <v>12795</v>
      </c>
      <c r="H252">
        <f>VLOOKUP(Tabla3[[#This Row],[Subcategoria]],$D$374:$E$493,2,0)</f>
        <v>79</v>
      </c>
      <c r="J252">
        <v>79</v>
      </c>
      <c r="K252">
        <v>5</v>
      </c>
      <c r="L252" t="s">
        <v>977</v>
      </c>
    </row>
    <row r="253" spans="1:12" x14ac:dyDescent="0.2">
      <c r="A253">
        <v>12</v>
      </c>
      <c r="B253" t="s">
        <v>972</v>
      </c>
      <c r="C253">
        <v>79</v>
      </c>
      <c r="D253" t="s">
        <v>960</v>
      </c>
      <c r="E253">
        <v>6</v>
      </c>
      <c r="F253" t="s">
        <v>978</v>
      </c>
      <c r="G253" t="str">
        <f>Tabla3[[#This Row],[IDCatPrin]]&amp;Tabla3[[#This Row],[IDSubCat]]&amp;Tabla3[[#This Row],[Iddetalle]]</f>
        <v>12796</v>
      </c>
      <c r="H253">
        <f>VLOOKUP(Tabla3[[#This Row],[Subcategoria]],$D$374:$E$493,2,0)</f>
        <v>79</v>
      </c>
      <c r="J253">
        <v>79</v>
      </c>
      <c r="K253">
        <v>6</v>
      </c>
      <c r="L253" t="s">
        <v>978</v>
      </c>
    </row>
    <row r="254" spans="1:12" x14ac:dyDescent="0.2">
      <c r="A254">
        <v>12</v>
      </c>
      <c r="B254" t="s">
        <v>972</v>
      </c>
      <c r="C254">
        <v>79</v>
      </c>
      <c r="D254" t="s">
        <v>960</v>
      </c>
      <c r="E254">
        <v>7</v>
      </c>
      <c r="F254" t="s">
        <v>979</v>
      </c>
      <c r="G254" t="str">
        <f>Tabla3[[#This Row],[IDCatPrin]]&amp;Tabla3[[#This Row],[IDSubCat]]&amp;Tabla3[[#This Row],[Iddetalle]]</f>
        <v>12797</v>
      </c>
      <c r="H254">
        <f>VLOOKUP(Tabla3[[#This Row],[Subcategoria]],$D$374:$E$493,2,0)</f>
        <v>79</v>
      </c>
      <c r="J254">
        <v>79</v>
      </c>
      <c r="K254">
        <v>7</v>
      </c>
      <c r="L254" t="s">
        <v>979</v>
      </c>
    </row>
    <row r="255" spans="1:12" x14ac:dyDescent="0.2">
      <c r="A255">
        <v>12</v>
      </c>
      <c r="B255" t="s">
        <v>972</v>
      </c>
      <c r="C255">
        <v>79</v>
      </c>
      <c r="D255" t="s">
        <v>960</v>
      </c>
      <c r="E255">
        <v>8</v>
      </c>
      <c r="F255" t="s">
        <v>980</v>
      </c>
      <c r="G255" t="str">
        <f>Tabla3[[#This Row],[IDCatPrin]]&amp;Tabla3[[#This Row],[IDSubCat]]&amp;Tabla3[[#This Row],[Iddetalle]]</f>
        <v>12798</v>
      </c>
      <c r="H255">
        <f>VLOOKUP(Tabla3[[#This Row],[Subcategoria]],$D$374:$E$493,2,0)</f>
        <v>79</v>
      </c>
      <c r="J255">
        <v>79</v>
      </c>
      <c r="K255">
        <v>8</v>
      </c>
      <c r="L255" t="s">
        <v>980</v>
      </c>
    </row>
    <row r="256" spans="1:12" x14ac:dyDescent="0.2">
      <c r="A256">
        <v>12</v>
      </c>
      <c r="B256" t="s">
        <v>972</v>
      </c>
      <c r="C256">
        <v>79</v>
      </c>
      <c r="D256" t="s">
        <v>960</v>
      </c>
      <c r="E256">
        <v>9</v>
      </c>
      <c r="F256" t="s">
        <v>981</v>
      </c>
      <c r="G256" t="str">
        <f>Tabla3[[#This Row],[IDCatPrin]]&amp;Tabla3[[#This Row],[IDSubCat]]&amp;Tabla3[[#This Row],[Iddetalle]]</f>
        <v>12799</v>
      </c>
      <c r="H256">
        <f>VLOOKUP(Tabla3[[#This Row],[Subcategoria]],$D$374:$E$493,2,0)</f>
        <v>79</v>
      </c>
      <c r="J256">
        <v>79</v>
      </c>
      <c r="K256">
        <v>9</v>
      </c>
      <c r="L256" t="s">
        <v>981</v>
      </c>
    </row>
    <row r="257" spans="1:12" x14ac:dyDescent="0.2">
      <c r="A257">
        <v>12</v>
      </c>
      <c r="B257" t="s">
        <v>972</v>
      </c>
      <c r="C257">
        <v>79</v>
      </c>
      <c r="D257" t="s">
        <v>960</v>
      </c>
      <c r="E257">
        <v>10</v>
      </c>
      <c r="F257" t="s">
        <v>982</v>
      </c>
      <c r="G257" t="str">
        <f>Tabla3[[#This Row],[IDCatPrin]]&amp;Tabla3[[#This Row],[IDSubCat]]&amp;Tabla3[[#This Row],[Iddetalle]]</f>
        <v>127910</v>
      </c>
      <c r="H257">
        <f>VLOOKUP(Tabla3[[#This Row],[Subcategoria]],$D$374:$E$493,2,0)</f>
        <v>79</v>
      </c>
      <c r="J257">
        <v>79</v>
      </c>
      <c r="K257">
        <v>10</v>
      </c>
      <c r="L257" t="s">
        <v>982</v>
      </c>
    </row>
    <row r="258" spans="1:12" x14ac:dyDescent="0.2">
      <c r="A258">
        <v>13</v>
      </c>
      <c r="B258" t="s">
        <v>1163</v>
      </c>
      <c r="C258">
        <v>80</v>
      </c>
      <c r="D258" t="s">
        <v>1170</v>
      </c>
      <c r="E258">
        <v>1</v>
      </c>
      <c r="G258" t="str">
        <f>Tabla3[[#This Row],[IDCatPrin]]&amp;Tabla3[[#This Row],[IDSubCat]]&amp;Tabla3[[#This Row],[Iddetalle]]</f>
        <v>13801</v>
      </c>
      <c r="H258">
        <f>VLOOKUP(Tabla3[[#This Row],[Subcategoria]],$D$374:$E$493,2,0)</f>
        <v>80</v>
      </c>
      <c r="J258">
        <v>80</v>
      </c>
      <c r="K258">
        <v>1</v>
      </c>
      <c r="L258" t="s">
        <v>1216</v>
      </c>
    </row>
    <row r="259" spans="1:12" x14ac:dyDescent="0.2">
      <c r="A259">
        <v>11</v>
      </c>
      <c r="B259" t="s">
        <v>903</v>
      </c>
      <c r="C259">
        <v>81</v>
      </c>
      <c r="D259" t="s">
        <v>900</v>
      </c>
      <c r="E259">
        <v>1</v>
      </c>
      <c r="F259" t="s">
        <v>918</v>
      </c>
      <c r="G259" t="str">
        <f>Tabla3[[#This Row],[IDCatPrin]]&amp;Tabla3[[#This Row],[IDSubCat]]&amp;Tabla3[[#This Row],[Iddetalle]]</f>
        <v>11811</v>
      </c>
      <c r="H259">
        <f>VLOOKUP(Tabla3[[#This Row],[Subcategoria]],$D$374:$E$493,2,0)</f>
        <v>81</v>
      </c>
      <c r="J259">
        <v>81</v>
      </c>
      <c r="K259">
        <v>1</v>
      </c>
      <c r="L259" t="s">
        <v>918</v>
      </c>
    </row>
    <row r="260" spans="1:12" x14ac:dyDescent="0.2">
      <c r="A260">
        <v>11</v>
      </c>
      <c r="B260" t="s">
        <v>903</v>
      </c>
      <c r="C260">
        <v>81</v>
      </c>
      <c r="D260" t="s">
        <v>900</v>
      </c>
      <c r="E260">
        <v>2</v>
      </c>
      <c r="F260" t="s">
        <v>919</v>
      </c>
      <c r="G260" t="str">
        <f>Tabla3[[#This Row],[IDCatPrin]]&amp;Tabla3[[#This Row],[IDSubCat]]&amp;Tabla3[[#This Row],[Iddetalle]]</f>
        <v>11812</v>
      </c>
      <c r="H260">
        <f>VLOOKUP(Tabla3[[#This Row],[Subcategoria]],$D$374:$E$493,2,0)</f>
        <v>81</v>
      </c>
      <c r="J260">
        <v>81</v>
      </c>
      <c r="K260">
        <v>2</v>
      </c>
      <c r="L260" t="s">
        <v>919</v>
      </c>
    </row>
    <row r="261" spans="1:12" x14ac:dyDescent="0.2">
      <c r="A261">
        <v>4</v>
      </c>
      <c r="B261" t="s">
        <v>953</v>
      </c>
      <c r="C261">
        <v>82</v>
      </c>
      <c r="D261" t="s">
        <v>950</v>
      </c>
      <c r="E261">
        <v>1</v>
      </c>
      <c r="F261" t="s">
        <v>955</v>
      </c>
      <c r="G261" t="str">
        <f>Tabla3[[#This Row],[IDCatPrin]]&amp;Tabla3[[#This Row],[IDSubCat]]&amp;Tabla3[[#This Row],[Iddetalle]]</f>
        <v>4821</v>
      </c>
      <c r="H261">
        <f>VLOOKUP(Tabla3[[#This Row],[Subcategoria]],$D$374:$E$493,2,0)</f>
        <v>82</v>
      </c>
      <c r="J261">
        <v>82</v>
      </c>
      <c r="K261">
        <v>1</v>
      </c>
      <c r="L261" t="s">
        <v>955</v>
      </c>
    </row>
    <row r="262" spans="1:12" x14ac:dyDescent="0.2">
      <c r="A262">
        <v>4</v>
      </c>
      <c r="B262" t="s">
        <v>953</v>
      </c>
      <c r="C262">
        <v>82</v>
      </c>
      <c r="D262" t="s">
        <v>950</v>
      </c>
      <c r="E262">
        <v>2</v>
      </c>
      <c r="F262" t="s">
        <v>956</v>
      </c>
      <c r="G262" t="str">
        <f>Tabla3[[#This Row],[IDCatPrin]]&amp;Tabla3[[#This Row],[IDSubCat]]&amp;Tabla3[[#This Row],[Iddetalle]]</f>
        <v>4822</v>
      </c>
      <c r="H262">
        <f>VLOOKUP(Tabla3[[#This Row],[Subcategoria]],$D$374:$E$493,2,0)</f>
        <v>82</v>
      </c>
      <c r="J262">
        <v>82</v>
      </c>
      <c r="K262">
        <v>2</v>
      </c>
      <c r="L262" t="s">
        <v>956</v>
      </c>
    </row>
    <row r="263" spans="1:12" x14ac:dyDescent="0.2">
      <c r="A263">
        <v>12</v>
      </c>
      <c r="B263" t="s">
        <v>972</v>
      </c>
      <c r="C263">
        <v>83</v>
      </c>
      <c r="D263" t="s">
        <v>970</v>
      </c>
      <c r="E263">
        <v>1</v>
      </c>
      <c r="F263" t="s">
        <v>1005</v>
      </c>
      <c r="G263" t="str">
        <f>Tabla3[[#This Row],[IDCatPrin]]&amp;Tabla3[[#This Row],[IDSubCat]]&amp;Tabla3[[#This Row],[Iddetalle]]</f>
        <v>12831</v>
      </c>
      <c r="H263">
        <f>VLOOKUP(Tabla3[[#This Row],[Subcategoria]],$D$374:$E$493,2,0)</f>
        <v>83</v>
      </c>
      <c r="J263">
        <v>83</v>
      </c>
      <c r="K263">
        <v>1</v>
      </c>
      <c r="L263" t="s">
        <v>1005</v>
      </c>
    </row>
    <row r="264" spans="1:12" x14ac:dyDescent="0.2">
      <c r="A264">
        <v>12</v>
      </c>
      <c r="B264" t="s">
        <v>972</v>
      </c>
      <c r="C264">
        <v>83</v>
      </c>
      <c r="D264" t="s">
        <v>970</v>
      </c>
      <c r="E264">
        <v>2</v>
      </c>
      <c r="F264" t="s">
        <v>1006</v>
      </c>
      <c r="G264" t="str">
        <f>Tabla3[[#This Row],[IDCatPrin]]&amp;Tabla3[[#This Row],[IDSubCat]]&amp;Tabla3[[#This Row],[Iddetalle]]</f>
        <v>12832</v>
      </c>
      <c r="H264">
        <f>VLOOKUP(Tabla3[[#This Row],[Subcategoria]],$D$374:$E$493,2,0)</f>
        <v>83</v>
      </c>
      <c r="J264">
        <v>83</v>
      </c>
      <c r="K264">
        <v>2</v>
      </c>
      <c r="L264" t="s">
        <v>1006</v>
      </c>
    </row>
    <row r="265" spans="1:12" x14ac:dyDescent="0.2">
      <c r="A265">
        <v>7</v>
      </c>
      <c r="B265" t="s">
        <v>1138</v>
      </c>
      <c r="C265">
        <v>84</v>
      </c>
      <c r="D265" t="s">
        <v>1130</v>
      </c>
      <c r="E265">
        <v>1</v>
      </c>
      <c r="F265" t="s">
        <v>1151</v>
      </c>
      <c r="G265" t="str">
        <f>Tabla3[[#This Row],[IDCatPrin]]&amp;Tabla3[[#This Row],[IDSubCat]]&amp;Tabla3[[#This Row],[Iddetalle]]</f>
        <v>7841</v>
      </c>
      <c r="H265">
        <f>VLOOKUP(Tabla3[[#This Row],[Subcategoria]],$D$374:$E$493,2,0)</f>
        <v>84</v>
      </c>
      <c r="J265">
        <v>84</v>
      </c>
      <c r="K265">
        <v>1</v>
      </c>
      <c r="L265" t="s">
        <v>1151</v>
      </c>
    </row>
    <row r="266" spans="1:12" x14ac:dyDescent="0.2">
      <c r="A266">
        <v>7</v>
      </c>
      <c r="B266" t="s">
        <v>1138</v>
      </c>
      <c r="C266">
        <v>84</v>
      </c>
      <c r="D266" t="s">
        <v>1130</v>
      </c>
      <c r="E266">
        <v>2</v>
      </c>
      <c r="F266" t="s">
        <v>1152</v>
      </c>
      <c r="G266" t="str">
        <f>Tabla3[[#This Row],[IDCatPrin]]&amp;Tabla3[[#This Row],[IDSubCat]]&amp;Tabla3[[#This Row],[Iddetalle]]</f>
        <v>7842</v>
      </c>
      <c r="H266">
        <f>VLOOKUP(Tabla3[[#This Row],[Subcategoria]],$D$374:$E$493,2,0)</f>
        <v>84</v>
      </c>
      <c r="J266">
        <v>84</v>
      </c>
      <c r="K266">
        <v>2</v>
      </c>
      <c r="L266" t="s">
        <v>1152</v>
      </c>
    </row>
    <row r="267" spans="1:12" x14ac:dyDescent="0.2">
      <c r="A267">
        <v>7</v>
      </c>
      <c r="B267" t="s">
        <v>1138</v>
      </c>
      <c r="C267">
        <v>86</v>
      </c>
      <c r="D267" t="s">
        <v>1124</v>
      </c>
      <c r="E267">
        <v>1</v>
      </c>
      <c r="F267" t="s">
        <v>1143</v>
      </c>
      <c r="G267" t="str">
        <f>Tabla3[[#This Row],[IDCatPrin]]&amp;Tabla3[[#This Row],[IDSubCat]]&amp;Tabla3[[#This Row],[Iddetalle]]</f>
        <v>7861</v>
      </c>
      <c r="H267">
        <f>VLOOKUP(Tabla3[[#This Row],[Subcategoria]],$D$374:$E$493,2,0)</f>
        <v>86</v>
      </c>
      <c r="J267">
        <v>86</v>
      </c>
      <c r="K267">
        <v>1</v>
      </c>
      <c r="L267" t="s">
        <v>1143</v>
      </c>
    </row>
    <row r="268" spans="1:12" x14ac:dyDescent="0.2">
      <c r="A268">
        <v>1</v>
      </c>
      <c r="B268" t="s">
        <v>713</v>
      </c>
      <c r="C268">
        <v>87</v>
      </c>
      <c r="D268" t="s">
        <v>724</v>
      </c>
      <c r="E268">
        <v>1</v>
      </c>
      <c r="F268" t="s">
        <v>791</v>
      </c>
      <c r="G268" t="str">
        <f>Tabla3[[#This Row],[IDCatPrin]]&amp;Tabla3[[#This Row],[IDSubCat]]&amp;Tabla3[[#This Row],[Iddetalle]]</f>
        <v>1871</v>
      </c>
      <c r="H268">
        <f>VLOOKUP(Tabla3[[#This Row],[Subcategoria]],$D$374:$E$493,2,0)</f>
        <v>87</v>
      </c>
      <c r="J268">
        <v>87</v>
      </c>
      <c r="K268">
        <v>1</v>
      </c>
      <c r="L268" t="s">
        <v>791</v>
      </c>
    </row>
    <row r="269" spans="1:12" x14ac:dyDescent="0.2">
      <c r="A269">
        <v>1</v>
      </c>
      <c r="B269" t="s">
        <v>713</v>
      </c>
      <c r="C269">
        <v>87</v>
      </c>
      <c r="D269" t="s">
        <v>724</v>
      </c>
      <c r="E269">
        <v>2</v>
      </c>
      <c r="F269" t="s">
        <v>792</v>
      </c>
      <c r="G269" t="str">
        <f>Tabla3[[#This Row],[IDCatPrin]]&amp;Tabla3[[#This Row],[IDSubCat]]&amp;Tabla3[[#This Row],[Iddetalle]]</f>
        <v>1872</v>
      </c>
      <c r="H269">
        <f>VLOOKUP(Tabla3[[#This Row],[Subcategoria]],$D$374:$E$493,2,0)</f>
        <v>87</v>
      </c>
      <c r="J269">
        <v>87</v>
      </c>
      <c r="K269">
        <v>2</v>
      </c>
      <c r="L269" t="s">
        <v>792</v>
      </c>
    </row>
    <row r="270" spans="1:12" x14ac:dyDescent="0.2">
      <c r="A270">
        <v>1</v>
      </c>
      <c r="B270" t="s">
        <v>713</v>
      </c>
      <c r="C270">
        <v>87</v>
      </c>
      <c r="D270" t="s">
        <v>724</v>
      </c>
      <c r="E270">
        <v>3</v>
      </c>
      <c r="F270" t="s">
        <v>793</v>
      </c>
      <c r="G270" t="str">
        <f>Tabla3[[#This Row],[IDCatPrin]]&amp;Tabla3[[#This Row],[IDSubCat]]&amp;Tabla3[[#This Row],[Iddetalle]]</f>
        <v>1873</v>
      </c>
      <c r="H270">
        <f>VLOOKUP(Tabla3[[#This Row],[Subcategoria]],$D$374:$E$493,2,0)</f>
        <v>87</v>
      </c>
      <c r="J270">
        <v>87</v>
      </c>
      <c r="K270">
        <v>3</v>
      </c>
      <c r="L270" t="s">
        <v>793</v>
      </c>
    </row>
    <row r="271" spans="1:12" x14ac:dyDescent="0.2">
      <c r="A271">
        <v>1</v>
      </c>
      <c r="B271" t="s">
        <v>713</v>
      </c>
      <c r="C271">
        <v>87</v>
      </c>
      <c r="D271" t="s">
        <v>724</v>
      </c>
      <c r="E271">
        <v>4</v>
      </c>
      <c r="F271" t="s">
        <v>794</v>
      </c>
      <c r="G271" t="str">
        <f>Tabla3[[#This Row],[IDCatPrin]]&amp;Tabla3[[#This Row],[IDSubCat]]&amp;Tabla3[[#This Row],[Iddetalle]]</f>
        <v>1874</v>
      </c>
      <c r="H271">
        <f>VLOOKUP(Tabla3[[#This Row],[Subcategoria]],$D$374:$E$493,2,0)</f>
        <v>87</v>
      </c>
      <c r="J271">
        <v>87</v>
      </c>
      <c r="K271">
        <v>4</v>
      </c>
      <c r="L271" t="s">
        <v>794</v>
      </c>
    </row>
    <row r="272" spans="1:12" x14ac:dyDescent="0.2">
      <c r="A272">
        <v>7</v>
      </c>
      <c r="B272" t="s">
        <v>1138</v>
      </c>
      <c r="C272">
        <v>88</v>
      </c>
      <c r="D272" t="s">
        <v>1113</v>
      </c>
      <c r="E272">
        <v>1</v>
      </c>
      <c r="G272" t="str">
        <f>Tabla3[[#This Row],[IDCatPrin]]&amp;Tabla3[[#This Row],[IDSubCat]]&amp;Tabla3[[#This Row],[Iddetalle]]</f>
        <v>7881</v>
      </c>
      <c r="H272">
        <f>VLOOKUP(Tabla3[[#This Row],[Subcategoria]],$D$374:$E$493,2,0)</f>
        <v>88</v>
      </c>
      <c r="J272">
        <v>88</v>
      </c>
      <c r="K272">
        <v>1</v>
      </c>
      <c r="L272" t="s">
        <v>1216</v>
      </c>
    </row>
    <row r="273" spans="1:12" x14ac:dyDescent="0.2">
      <c r="A273">
        <v>7</v>
      </c>
      <c r="B273" t="s">
        <v>1138</v>
      </c>
      <c r="C273">
        <v>89</v>
      </c>
      <c r="D273" t="s">
        <v>1134</v>
      </c>
      <c r="E273">
        <v>1</v>
      </c>
      <c r="F273" t="s">
        <v>1159</v>
      </c>
      <c r="G273" t="str">
        <f>Tabla3[[#This Row],[IDCatPrin]]&amp;Tabla3[[#This Row],[IDSubCat]]&amp;Tabla3[[#This Row],[Iddetalle]]</f>
        <v>7891</v>
      </c>
      <c r="H273">
        <f>VLOOKUP(Tabla3[[#This Row],[Subcategoria]],$D$374:$E$493,2,0)</f>
        <v>89</v>
      </c>
      <c r="J273">
        <v>89</v>
      </c>
      <c r="K273">
        <v>1</v>
      </c>
      <c r="L273" t="s">
        <v>1159</v>
      </c>
    </row>
    <row r="274" spans="1:12" x14ac:dyDescent="0.2">
      <c r="A274">
        <v>7</v>
      </c>
      <c r="B274" t="s">
        <v>1138</v>
      </c>
      <c r="C274">
        <v>90</v>
      </c>
      <c r="D274" t="s">
        <v>1110</v>
      </c>
      <c r="E274">
        <v>1</v>
      </c>
      <c r="G274" t="str">
        <f>Tabla3[[#This Row],[IDCatPrin]]&amp;Tabla3[[#This Row],[IDSubCat]]&amp;Tabla3[[#This Row],[Iddetalle]]</f>
        <v>7901</v>
      </c>
      <c r="H274">
        <f>VLOOKUP(Tabla3[[#This Row],[Subcategoria]],$D$374:$E$493,2,0)</f>
        <v>90</v>
      </c>
      <c r="J274">
        <v>90</v>
      </c>
      <c r="K274">
        <v>1</v>
      </c>
      <c r="L274" t="s">
        <v>1216</v>
      </c>
    </row>
    <row r="275" spans="1:12" x14ac:dyDescent="0.2">
      <c r="A275">
        <v>14</v>
      </c>
      <c r="B275" t="s">
        <v>881</v>
      </c>
      <c r="C275">
        <v>91</v>
      </c>
      <c r="D275" t="s">
        <v>876</v>
      </c>
      <c r="E275">
        <v>1</v>
      </c>
      <c r="F275" t="s">
        <v>882</v>
      </c>
      <c r="G275" t="str">
        <f>Tabla3[[#This Row],[IDCatPrin]]&amp;Tabla3[[#This Row],[IDSubCat]]&amp;Tabla3[[#This Row],[Iddetalle]]</f>
        <v>14911</v>
      </c>
      <c r="H275">
        <f>VLOOKUP(Tabla3[[#This Row],[Subcategoria]],$D$374:$E$493,2,0)</f>
        <v>91</v>
      </c>
      <c r="J275">
        <v>91</v>
      </c>
      <c r="K275">
        <v>1</v>
      </c>
      <c r="L275" t="s">
        <v>882</v>
      </c>
    </row>
    <row r="276" spans="1:12" x14ac:dyDescent="0.2">
      <c r="A276">
        <v>14</v>
      </c>
      <c r="B276" t="s">
        <v>881</v>
      </c>
      <c r="C276">
        <v>91</v>
      </c>
      <c r="D276" t="s">
        <v>876</v>
      </c>
      <c r="E276">
        <v>2</v>
      </c>
      <c r="F276" t="s">
        <v>883</v>
      </c>
      <c r="G276" t="str">
        <f>Tabla3[[#This Row],[IDCatPrin]]&amp;Tabla3[[#This Row],[IDSubCat]]&amp;Tabla3[[#This Row],[Iddetalle]]</f>
        <v>14912</v>
      </c>
      <c r="H276">
        <f>VLOOKUP(Tabla3[[#This Row],[Subcategoria]],$D$374:$E$493,2,0)</f>
        <v>91</v>
      </c>
      <c r="J276">
        <v>91</v>
      </c>
      <c r="K276">
        <v>2</v>
      </c>
      <c r="L276" t="s">
        <v>883</v>
      </c>
    </row>
    <row r="277" spans="1:12" x14ac:dyDescent="0.2">
      <c r="A277">
        <v>14</v>
      </c>
      <c r="B277" t="s">
        <v>881</v>
      </c>
      <c r="C277">
        <v>92</v>
      </c>
      <c r="D277" t="s">
        <v>878</v>
      </c>
      <c r="E277">
        <v>1</v>
      </c>
      <c r="F277" t="s">
        <v>885</v>
      </c>
      <c r="G277" t="str">
        <f>Tabla3[[#This Row],[IDCatPrin]]&amp;Tabla3[[#This Row],[IDSubCat]]&amp;Tabla3[[#This Row],[Iddetalle]]</f>
        <v>14921</v>
      </c>
      <c r="H277">
        <f>VLOOKUP(Tabla3[[#This Row],[Subcategoria]],$D$374:$E$493,2,0)</f>
        <v>92</v>
      </c>
      <c r="J277">
        <v>92</v>
      </c>
      <c r="K277">
        <v>1</v>
      </c>
      <c r="L277" t="s">
        <v>885</v>
      </c>
    </row>
    <row r="278" spans="1:12" x14ac:dyDescent="0.2">
      <c r="A278">
        <v>14</v>
      </c>
      <c r="B278" t="s">
        <v>881</v>
      </c>
      <c r="C278">
        <v>92</v>
      </c>
      <c r="D278" t="s">
        <v>878</v>
      </c>
      <c r="E278">
        <v>2</v>
      </c>
      <c r="F278" t="s">
        <v>886</v>
      </c>
      <c r="G278" t="str">
        <f>Tabla3[[#This Row],[IDCatPrin]]&amp;Tabla3[[#This Row],[IDSubCat]]&amp;Tabla3[[#This Row],[Iddetalle]]</f>
        <v>14922</v>
      </c>
      <c r="H278">
        <f>VLOOKUP(Tabla3[[#This Row],[Subcategoria]],$D$374:$E$493,2,0)</f>
        <v>92</v>
      </c>
      <c r="J278">
        <v>92</v>
      </c>
      <c r="K278">
        <v>2</v>
      </c>
      <c r="L278" t="s">
        <v>886</v>
      </c>
    </row>
    <row r="279" spans="1:12" x14ac:dyDescent="0.2">
      <c r="A279">
        <v>14</v>
      </c>
      <c r="B279" t="s">
        <v>881</v>
      </c>
      <c r="C279">
        <v>92</v>
      </c>
      <c r="D279" t="s">
        <v>878</v>
      </c>
      <c r="E279">
        <v>3</v>
      </c>
      <c r="F279" t="s">
        <v>887</v>
      </c>
      <c r="G279" t="str">
        <f>Tabla3[[#This Row],[IDCatPrin]]&amp;Tabla3[[#This Row],[IDSubCat]]&amp;Tabla3[[#This Row],[Iddetalle]]</f>
        <v>14923</v>
      </c>
      <c r="H279">
        <f>VLOOKUP(Tabla3[[#This Row],[Subcategoria]],$D$374:$E$493,2,0)</f>
        <v>92</v>
      </c>
      <c r="J279">
        <v>92</v>
      </c>
      <c r="K279">
        <v>3</v>
      </c>
      <c r="L279" t="s">
        <v>887</v>
      </c>
    </row>
    <row r="280" spans="1:12" x14ac:dyDescent="0.2">
      <c r="A280">
        <v>14</v>
      </c>
      <c r="B280" t="s">
        <v>881</v>
      </c>
      <c r="C280">
        <v>92</v>
      </c>
      <c r="D280" t="s">
        <v>878</v>
      </c>
      <c r="E280">
        <v>4</v>
      </c>
      <c r="F280" t="s">
        <v>888</v>
      </c>
      <c r="G280" t="str">
        <f>Tabla3[[#This Row],[IDCatPrin]]&amp;Tabla3[[#This Row],[IDSubCat]]&amp;Tabla3[[#This Row],[Iddetalle]]</f>
        <v>14924</v>
      </c>
      <c r="H280">
        <f>VLOOKUP(Tabla3[[#This Row],[Subcategoria]],$D$374:$E$493,2,0)</f>
        <v>92</v>
      </c>
      <c r="J280">
        <v>92</v>
      </c>
      <c r="K280">
        <v>4</v>
      </c>
      <c r="L280" t="s">
        <v>888</v>
      </c>
    </row>
    <row r="281" spans="1:12" x14ac:dyDescent="0.2">
      <c r="A281">
        <v>14</v>
      </c>
      <c r="B281" t="s">
        <v>881</v>
      </c>
      <c r="C281">
        <v>92</v>
      </c>
      <c r="D281" t="s">
        <v>878</v>
      </c>
      <c r="E281">
        <v>5</v>
      </c>
      <c r="F281" t="s">
        <v>889</v>
      </c>
      <c r="G281" t="str">
        <f>Tabla3[[#This Row],[IDCatPrin]]&amp;Tabla3[[#This Row],[IDSubCat]]&amp;Tabla3[[#This Row],[Iddetalle]]</f>
        <v>14925</v>
      </c>
      <c r="H281">
        <f>VLOOKUP(Tabla3[[#This Row],[Subcategoria]],$D$374:$E$493,2,0)</f>
        <v>92</v>
      </c>
      <c r="J281">
        <v>92</v>
      </c>
      <c r="K281">
        <v>5</v>
      </c>
      <c r="L281" t="s">
        <v>889</v>
      </c>
    </row>
    <row r="282" spans="1:12" x14ac:dyDescent="0.2">
      <c r="A282">
        <v>14</v>
      </c>
      <c r="B282" t="s">
        <v>881</v>
      </c>
      <c r="C282">
        <v>92</v>
      </c>
      <c r="D282" t="s">
        <v>878</v>
      </c>
      <c r="E282">
        <v>6</v>
      </c>
      <c r="F282" t="s">
        <v>890</v>
      </c>
      <c r="G282" t="str">
        <f>Tabla3[[#This Row],[IDCatPrin]]&amp;Tabla3[[#This Row],[IDSubCat]]&amp;Tabla3[[#This Row],[Iddetalle]]</f>
        <v>14926</v>
      </c>
      <c r="H282">
        <f>VLOOKUP(Tabla3[[#This Row],[Subcategoria]],$D$374:$E$493,2,0)</f>
        <v>92</v>
      </c>
      <c r="J282">
        <v>92</v>
      </c>
      <c r="K282">
        <v>6</v>
      </c>
      <c r="L282" t="s">
        <v>890</v>
      </c>
    </row>
    <row r="283" spans="1:12" x14ac:dyDescent="0.2">
      <c r="A283">
        <v>14</v>
      </c>
      <c r="B283" t="s">
        <v>881</v>
      </c>
      <c r="C283">
        <v>92</v>
      </c>
      <c r="D283" t="s">
        <v>878</v>
      </c>
      <c r="E283">
        <v>7</v>
      </c>
      <c r="F283" t="s">
        <v>891</v>
      </c>
      <c r="G283" t="str">
        <f>Tabla3[[#This Row],[IDCatPrin]]&amp;Tabla3[[#This Row],[IDSubCat]]&amp;Tabla3[[#This Row],[Iddetalle]]</f>
        <v>14927</v>
      </c>
      <c r="H283">
        <f>VLOOKUP(Tabla3[[#This Row],[Subcategoria]],$D$374:$E$493,2,0)</f>
        <v>92</v>
      </c>
      <c r="J283">
        <v>92</v>
      </c>
      <c r="K283">
        <v>7</v>
      </c>
      <c r="L283" t="s">
        <v>891</v>
      </c>
    </row>
    <row r="284" spans="1:12" x14ac:dyDescent="0.2">
      <c r="A284">
        <v>1</v>
      </c>
      <c r="B284" t="s">
        <v>713</v>
      </c>
      <c r="C284">
        <v>93</v>
      </c>
      <c r="D284" t="s">
        <v>731</v>
      </c>
      <c r="E284">
        <v>1</v>
      </c>
      <c r="F284" t="s">
        <v>816</v>
      </c>
      <c r="G284" t="str">
        <f>Tabla3[[#This Row],[IDCatPrin]]&amp;Tabla3[[#This Row],[IDSubCat]]&amp;Tabla3[[#This Row],[Iddetalle]]</f>
        <v>1931</v>
      </c>
      <c r="H284">
        <f>VLOOKUP(Tabla3[[#This Row],[Subcategoria]],$D$374:$E$493,2,0)</f>
        <v>93</v>
      </c>
      <c r="J284">
        <v>93</v>
      </c>
      <c r="K284">
        <v>1</v>
      </c>
      <c r="L284" t="s">
        <v>816</v>
      </c>
    </row>
    <row r="285" spans="1:12" x14ac:dyDescent="0.2">
      <c r="A285">
        <v>3</v>
      </c>
      <c r="B285" t="s">
        <v>1008</v>
      </c>
      <c r="C285">
        <v>94</v>
      </c>
      <c r="D285" t="s">
        <v>1010</v>
      </c>
      <c r="E285">
        <v>1</v>
      </c>
      <c r="F285" t="s">
        <v>1024</v>
      </c>
      <c r="G285" t="str">
        <f>Tabla3[[#This Row],[IDCatPrin]]&amp;Tabla3[[#This Row],[IDSubCat]]&amp;Tabla3[[#This Row],[Iddetalle]]</f>
        <v>3941</v>
      </c>
      <c r="H285">
        <f>VLOOKUP(Tabla3[[#This Row],[Subcategoria]],$D$374:$E$493,2,0)</f>
        <v>94</v>
      </c>
      <c r="J285">
        <v>94</v>
      </c>
      <c r="K285">
        <v>1</v>
      </c>
      <c r="L285" t="s">
        <v>1024</v>
      </c>
    </row>
    <row r="286" spans="1:12" x14ac:dyDescent="0.2">
      <c r="A286">
        <v>3</v>
      </c>
      <c r="B286" t="s">
        <v>1008</v>
      </c>
      <c r="C286">
        <v>94</v>
      </c>
      <c r="D286" t="s">
        <v>1010</v>
      </c>
      <c r="E286">
        <v>2</v>
      </c>
      <c r="F286" t="s">
        <v>1025</v>
      </c>
      <c r="G286" t="str">
        <f>Tabla3[[#This Row],[IDCatPrin]]&amp;Tabla3[[#This Row],[IDSubCat]]&amp;Tabla3[[#This Row],[Iddetalle]]</f>
        <v>3942</v>
      </c>
      <c r="H286">
        <f>VLOOKUP(Tabla3[[#This Row],[Subcategoria]],$D$374:$E$493,2,0)</f>
        <v>94</v>
      </c>
      <c r="J286">
        <v>94</v>
      </c>
      <c r="K286">
        <v>2</v>
      </c>
      <c r="L286" t="s">
        <v>1025</v>
      </c>
    </row>
    <row r="287" spans="1:12" x14ac:dyDescent="0.2">
      <c r="A287">
        <v>3</v>
      </c>
      <c r="B287" t="s">
        <v>1008</v>
      </c>
      <c r="C287">
        <v>94</v>
      </c>
      <c r="D287" t="s">
        <v>1010</v>
      </c>
      <c r="E287">
        <v>3</v>
      </c>
      <c r="F287" t="s">
        <v>1026</v>
      </c>
      <c r="G287" t="str">
        <f>Tabla3[[#This Row],[IDCatPrin]]&amp;Tabla3[[#This Row],[IDSubCat]]&amp;Tabla3[[#This Row],[Iddetalle]]</f>
        <v>3943</v>
      </c>
      <c r="H287">
        <f>VLOOKUP(Tabla3[[#This Row],[Subcategoria]],$D$374:$E$493,2,0)</f>
        <v>94</v>
      </c>
      <c r="J287">
        <v>94</v>
      </c>
      <c r="K287">
        <v>3</v>
      </c>
      <c r="L287" t="s">
        <v>1026</v>
      </c>
    </row>
    <row r="288" spans="1:12" x14ac:dyDescent="0.2">
      <c r="A288">
        <v>3</v>
      </c>
      <c r="B288" t="s">
        <v>1008</v>
      </c>
      <c r="C288">
        <v>94</v>
      </c>
      <c r="D288" t="s">
        <v>1010</v>
      </c>
      <c r="E288">
        <v>4</v>
      </c>
      <c r="F288" t="s">
        <v>1027</v>
      </c>
      <c r="G288" t="str">
        <f>Tabla3[[#This Row],[IDCatPrin]]&amp;Tabla3[[#This Row],[IDSubCat]]&amp;Tabla3[[#This Row],[Iddetalle]]</f>
        <v>3944</v>
      </c>
      <c r="H288">
        <f>VLOOKUP(Tabla3[[#This Row],[Subcategoria]],$D$374:$E$493,2,0)</f>
        <v>94</v>
      </c>
      <c r="J288">
        <v>94</v>
      </c>
      <c r="K288">
        <v>4</v>
      </c>
      <c r="L288" t="s">
        <v>1027</v>
      </c>
    </row>
    <row r="289" spans="1:12" x14ac:dyDescent="0.2">
      <c r="A289">
        <v>3</v>
      </c>
      <c r="B289" t="s">
        <v>1008</v>
      </c>
      <c r="C289">
        <v>94</v>
      </c>
      <c r="D289" t="s">
        <v>1010</v>
      </c>
      <c r="E289">
        <v>5</v>
      </c>
      <c r="F289" t="s">
        <v>1028</v>
      </c>
      <c r="G289" t="str">
        <f>Tabla3[[#This Row],[IDCatPrin]]&amp;Tabla3[[#This Row],[IDSubCat]]&amp;Tabla3[[#This Row],[Iddetalle]]</f>
        <v>3945</v>
      </c>
      <c r="H289">
        <f>VLOOKUP(Tabla3[[#This Row],[Subcategoria]],$D$374:$E$493,2,0)</f>
        <v>94</v>
      </c>
      <c r="J289">
        <v>94</v>
      </c>
      <c r="K289">
        <v>5</v>
      </c>
      <c r="L289" t="s">
        <v>1028</v>
      </c>
    </row>
    <row r="290" spans="1:12" x14ac:dyDescent="0.2">
      <c r="A290">
        <v>3</v>
      </c>
      <c r="B290" t="s">
        <v>1008</v>
      </c>
      <c r="C290">
        <v>94</v>
      </c>
      <c r="D290" t="s">
        <v>1010</v>
      </c>
      <c r="E290">
        <v>6</v>
      </c>
      <c r="F290" t="s">
        <v>1029</v>
      </c>
      <c r="G290" t="str">
        <f>Tabla3[[#This Row],[IDCatPrin]]&amp;Tabla3[[#This Row],[IDSubCat]]&amp;Tabla3[[#This Row],[Iddetalle]]</f>
        <v>3946</v>
      </c>
      <c r="H290">
        <f>VLOOKUP(Tabla3[[#This Row],[Subcategoria]],$D$374:$E$493,2,0)</f>
        <v>94</v>
      </c>
      <c r="J290">
        <v>94</v>
      </c>
      <c r="K290">
        <v>6</v>
      </c>
      <c r="L290" t="s">
        <v>1029</v>
      </c>
    </row>
    <row r="291" spans="1:12" x14ac:dyDescent="0.2">
      <c r="A291">
        <v>3</v>
      </c>
      <c r="B291" t="s">
        <v>1008</v>
      </c>
      <c r="C291">
        <v>94</v>
      </c>
      <c r="D291" t="s">
        <v>1010</v>
      </c>
      <c r="E291">
        <v>7</v>
      </c>
      <c r="F291" t="s">
        <v>1030</v>
      </c>
      <c r="G291" t="str">
        <f>Tabla3[[#This Row],[IDCatPrin]]&amp;Tabla3[[#This Row],[IDSubCat]]&amp;Tabla3[[#This Row],[Iddetalle]]</f>
        <v>3947</v>
      </c>
      <c r="H291">
        <f>VLOOKUP(Tabla3[[#This Row],[Subcategoria]],$D$374:$E$493,2,0)</f>
        <v>94</v>
      </c>
      <c r="J291">
        <v>94</v>
      </c>
      <c r="K291">
        <v>7</v>
      </c>
      <c r="L291" t="s">
        <v>1030</v>
      </c>
    </row>
    <row r="292" spans="1:12" x14ac:dyDescent="0.2">
      <c r="A292">
        <v>3</v>
      </c>
      <c r="B292" t="s">
        <v>1008</v>
      </c>
      <c r="C292">
        <v>94</v>
      </c>
      <c r="D292" t="s">
        <v>1010</v>
      </c>
      <c r="E292">
        <v>8</v>
      </c>
      <c r="F292" t="s">
        <v>1031</v>
      </c>
      <c r="G292" t="str">
        <f>Tabla3[[#This Row],[IDCatPrin]]&amp;Tabla3[[#This Row],[IDSubCat]]&amp;Tabla3[[#This Row],[Iddetalle]]</f>
        <v>3948</v>
      </c>
      <c r="H292">
        <f>VLOOKUP(Tabla3[[#This Row],[Subcategoria]],$D$374:$E$493,2,0)</f>
        <v>94</v>
      </c>
      <c r="J292">
        <v>94</v>
      </c>
      <c r="K292">
        <v>8</v>
      </c>
      <c r="L292" t="s">
        <v>1031</v>
      </c>
    </row>
    <row r="293" spans="1:12" x14ac:dyDescent="0.2">
      <c r="A293">
        <v>3</v>
      </c>
      <c r="B293" t="s">
        <v>1008</v>
      </c>
      <c r="C293">
        <v>94</v>
      </c>
      <c r="D293" t="s">
        <v>1010</v>
      </c>
      <c r="E293">
        <v>9</v>
      </c>
      <c r="F293" t="s">
        <v>1032</v>
      </c>
      <c r="G293" t="str">
        <f>Tabla3[[#This Row],[IDCatPrin]]&amp;Tabla3[[#This Row],[IDSubCat]]&amp;Tabla3[[#This Row],[Iddetalle]]</f>
        <v>3949</v>
      </c>
      <c r="H293">
        <f>VLOOKUP(Tabla3[[#This Row],[Subcategoria]],$D$374:$E$493,2,0)</f>
        <v>94</v>
      </c>
      <c r="J293">
        <v>94</v>
      </c>
      <c r="K293">
        <v>9</v>
      </c>
      <c r="L293" t="s">
        <v>1032</v>
      </c>
    </row>
    <row r="294" spans="1:12" x14ac:dyDescent="0.2">
      <c r="A294">
        <v>9</v>
      </c>
      <c r="B294" t="s">
        <v>1047</v>
      </c>
      <c r="C294">
        <v>95</v>
      </c>
      <c r="D294" t="s">
        <v>1056</v>
      </c>
      <c r="E294">
        <v>1</v>
      </c>
      <c r="F294" t="s">
        <v>1056</v>
      </c>
      <c r="G294" t="str">
        <f>Tabla3[[#This Row],[IDCatPrin]]&amp;Tabla3[[#This Row],[IDSubCat]]&amp;Tabla3[[#This Row],[Iddetalle]]</f>
        <v>9951</v>
      </c>
      <c r="H294">
        <f>VLOOKUP(Tabla3[[#This Row],[Subcategoria]],$D$374:$E$493,2,0)</f>
        <v>95</v>
      </c>
      <c r="J294">
        <v>95</v>
      </c>
      <c r="K294">
        <v>1</v>
      </c>
      <c r="L294" t="s">
        <v>1056</v>
      </c>
    </row>
    <row r="295" spans="1:12" x14ac:dyDescent="0.2">
      <c r="A295">
        <v>12</v>
      </c>
      <c r="B295" t="s">
        <v>972</v>
      </c>
      <c r="C295">
        <v>96</v>
      </c>
      <c r="D295" t="s">
        <v>967</v>
      </c>
      <c r="E295">
        <v>1</v>
      </c>
      <c r="F295" t="s">
        <v>1002</v>
      </c>
      <c r="G295" t="str">
        <f>Tabla3[[#This Row],[IDCatPrin]]&amp;Tabla3[[#This Row],[IDSubCat]]&amp;Tabla3[[#This Row],[Iddetalle]]</f>
        <v>12961</v>
      </c>
      <c r="H295">
        <f>VLOOKUP(Tabla3[[#This Row],[Subcategoria]],$D$374:$E$493,2,0)</f>
        <v>96</v>
      </c>
      <c r="J295">
        <v>96</v>
      </c>
      <c r="K295">
        <v>1</v>
      </c>
      <c r="L295" t="s">
        <v>1002</v>
      </c>
    </row>
    <row r="296" spans="1:12" x14ac:dyDescent="0.2">
      <c r="A296">
        <v>1</v>
      </c>
      <c r="B296" t="s">
        <v>713</v>
      </c>
      <c r="C296">
        <v>97</v>
      </c>
      <c r="D296" t="s">
        <v>717</v>
      </c>
      <c r="E296">
        <v>1</v>
      </c>
      <c r="F296" t="s">
        <v>755</v>
      </c>
      <c r="G296" t="str">
        <f>Tabla3[[#This Row],[IDCatPrin]]&amp;Tabla3[[#This Row],[IDSubCat]]&amp;Tabla3[[#This Row],[Iddetalle]]</f>
        <v>1971</v>
      </c>
      <c r="H296">
        <f>VLOOKUP(Tabla3[[#This Row],[Subcategoria]],$D$374:$E$493,2,0)</f>
        <v>97</v>
      </c>
      <c r="J296">
        <v>97</v>
      </c>
      <c r="K296">
        <v>1</v>
      </c>
      <c r="L296" t="s">
        <v>755</v>
      </c>
    </row>
    <row r="297" spans="1:12" x14ac:dyDescent="0.2">
      <c r="A297">
        <v>1</v>
      </c>
      <c r="B297" t="s">
        <v>713</v>
      </c>
      <c r="C297">
        <v>97</v>
      </c>
      <c r="D297" t="s">
        <v>717</v>
      </c>
      <c r="E297">
        <v>2</v>
      </c>
      <c r="F297" t="s">
        <v>756</v>
      </c>
      <c r="G297" t="str">
        <f>Tabla3[[#This Row],[IDCatPrin]]&amp;Tabla3[[#This Row],[IDSubCat]]&amp;Tabla3[[#This Row],[Iddetalle]]</f>
        <v>1972</v>
      </c>
      <c r="H297">
        <f>VLOOKUP(Tabla3[[#This Row],[Subcategoria]],$D$374:$E$493,2,0)</f>
        <v>97</v>
      </c>
      <c r="J297">
        <v>97</v>
      </c>
      <c r="K297">
        <v>2</v>
      </c>
      <c r="L297" t="s">
        <v>756</v>
      </c>
    </row>
    <row r="298" spans="1:12" x14ac:dyDescent="0.2">
      <c r="A298">
        <v>1</v>
      </c>
      <c r="B298" t="s">
        <v>713</v>
      </c>
      <c r="C298">
        <v>97</v>
      </c>
      <c r="D298" t="s">
        <v>717</v>
      </c>
      <c r="E298">
        <v>3</v>
      </c>
      <c r="F298" t="s">
        <v>757</v>
      </c>
      <c r="G298" t="str">
        <f>Tabla3[[#This Row],[IDCatPrin]]&amp;Tabla3[[#This Row],[IDSubCat]]&amp;Tabla3[[#This Row],[Iddetalle]]</f>
        <v>1973</v>
      </c>
      <c r="H298">
        <f>VLOOKUP(Tabla3[[#This Row],[Subcategoria]],$D$374:$E$493,2,0)</f>
        <v>97</v>
      </c>
      <c r="J298">
        <v>97</v>
      </c>
      <c r="K298">
        <v>3</v>
      </c>
      <c r="L298" t="s">
        <v>757</v>
      </c>
    </row>
    <row r="299" spans="1:12" x14ac:dyDescent="0.2">
      <c r="A299">
        <v>1</v>
      </c>
      <c r="B299" t="s">
        <v>713</v>
      </c>
      <c r="C299">
        <v>97</v>
      </c>
      <c r="D299" t="s">
        <v>717</v>
      </c>
      <c r="E299">
        <v>4</v>
      </c>
      <c r="F299" t="s">
        <v>758</v>
      </c>
      <c r="G299" t="str">
        <f>Tabla3[[#This Row],[IDCatPrin]]&amp;Tabla3[[#This Row],[IDSubCat]]&amp;Tabla3[[#This Row],[Iddetalle]]</f>
        <v>1974</v>
      </c>
      <c r="H299">
        <f>VLOOKUP(Tabla3[[#This Row],[Subcategoria]],$D$374:$E$493,2,0)</f>
        <v>97</v>
      </c>
      <c r="J299">
        <v>97</v>
      </c>
      <c r="K299">
        <v>4</v>
      </c>
      <c r="L299" t="s">
        <v>758</v>
      </c>
    </row>
    <row r="300" spans="1:12" x14ac:dyDescent="0.2">
      <c r="A300">
        <v>1</v>
      </c>
      <c r="B300" t="s">
        <v>713</v>
      </c>
      <c r="C300">
        <v>97</v>
      </c>
      <c r="D300" t="s">
        <v>717</v>
      </c>
      <c r="E300">
        <v>5</v>
      </c>
      <c r="F300" t="s">
        <v>759</v>
      </c>
      <c r="G300" t="str">
        <f>Tabla3[[#This Row],[IDCatPrin]]&amp;Tabla3[[#This Row],[IDSubCat]]&amp;Tabla3[[#This Row],[Iddetalle]]</f>
        <v>1975</v>
      </c>
      <c r="H300">
        <f>VLOOKUP(Tabla3[[#This Row],[Subcategoria]],$D$374:$E$493,2,0)</f>
        <v>97</v>
      </c>
      <c r="J300">
        <v>97</v>
      </c>
      <c r="K300">
        <v>5</v>
      </c>
      <c r="L300" t="s">
        <v>759</v>
      </c>
    </row>
    <row r="301" spans="1:12" x14ac:dyDescent="0.2">
      <c r="A301">
        <v>4</v>
      </c>
      <c r="B301" t="s">
        <v>953</v>
      </c>
      <c r="C301">
        <v>98</v>
      </c>
      <c r="D301" t="s">
        <v>951</v>
      </c>
      <c r="E301">
        <v>1</v>
      </c>
      <c r="F301" t="s">
        <v>957</v>
      </c>
      <c r="G301" t="str">
        <f>Tabla3[[#This Row],[IDCatPrin]]&amp;Tabla3[[#This Row],[IDSubCat]]&amp;Tabla3[[#This Row],[Iddetalle]]</f>
        <v>4981</v>
      </c>
      <c r="H301">
        <f>VLOOKUP(Tabla3[[#This Row],[Subcategoria]],$D$374:$E$493,2,0)</f>
        <v>98</v>
      </c>
      <c r="J301">
        <v>98</v>
      </c>
      <c r="K301">
        <v>1</v>
      </c>
      <c r="L301" t="s">
        <v>957</v>
      </c>
    </row>
    <row r="302" spans="1:12" x14ac:dyDescent="0.2">
      <c r="A302">
        <v>4</v>
      </c>
      <c r="B302" t="s">
        <v>953</v>
      </c>
      <c r="C302">
        <v>98</v>
      </c>
      <c r="D302" t="s">
        <v>951</v>
      </c>
      <c r="E302">
        <v>2</v>
      </c>
      <c r="F302" t="s">
        <v>958</v>
      </c>
      <c r="G302" t="str">
        <f>Tabla3[[#This Row],[IDCatPrin]]&amp;Tabla3[[#This Row],[IDSubCat]]&amp;Tabla3[[#This Row],[Iddetalle]]</f>
        <v>4982</v>
      </c>
      <c r="H302">
        <f>VLOOKUP(Tabla3[[#This Row],[Subcategoria]],$D$374:$E$493,2,0)</f>
        <v>98</v>
      </c>
      <c r="J302">
        <v>98</v>
      </c>
      <c r="K302">
        <v>2</v>
      </c>
      <c r="L302" t="s">
        <v>958</v>
      </c>
    </row>
    <row r="303" spans="1:12" x14ac:dyDescent="0.2">
      <c r="A303">
        <v>10</v>
      </c>
      <c r="B303" t="s">
        <v>840</v>
      </c>
      <c r="C303">
        <v>99</v>
      </c>
      <c r="D303" t="s">
        <v>821</v>
      </c>
      <c r="E303">
        <v>1</v>
      </c>
      <c r="F303" t="s">
        <v>829</v>
      </c>
      <c r="G303" t="str">
        <f>Tabla3[[#This Row],[IDCatPrin]]&amp;Tabla3[[#This Row],[IDSubCat]]&amp;Tabla3[[#This Row],[Iddetalle]]</f>
        <v>10991</v>
      </c>
      <c r="H303">
        <f>VLOOKUP(Tabla3[[#This Row],[Subcategoria]],$D$374:$E$493,2,0)</f>
        <v>99</v>
      </c>
      <c r="J303">
        <v>99</v>
      </c>
      <c r="K303">
        <v>1</v>
      </c>
      <c r="L303" t="s">
        <v>829</v>
      </c>
    </row>
    <row r="304" spans="1:12" x14ac:dyDescent="0.2">
      <c r="A304">
        <v>10</v>
      </c>
      <c r="B304" t="s">
        <v>840</v>
      </c>
      <c r="C304">
        <v>99</v>
      </c>
      <c r="D304" t="s">
        <v>821</v>
      </c>
      <c r="E304">
        <v>2</v>
      </c>
      <c r="F304" t="s">
        <v>830</v>
      </c>
      <c r="G304" t="str">
        <f>Tabla3[[#This Row],[IDCatPrin]]&amp;Tabla3[[#This Row],[IDSubCat]]&amp;Tabla3[[#This Row],[Iddetalle]]</f>
        <v>10992</v>
      </c>
      <c r="H304">
        <f>VLOOKUP(Tabla3[[#This Row],[Subcategoria]],$D$374:$E$493,2,0)</f>
        <v>99</v>
      </c>
      <c r="J304">
        <v>99</v>
      </c>
      <c r="K304">
        <v>2</v>
      </c>
      <c r="L304" t="s">
        <v>830</v>
      </c>
    </row>
    <row r="305" spans="1:12" x14ac:dyDescent="0.2">
      <c r="A305">
        <v>2</v>
      </c>
      <c r="B305" t="s">
        <v>868</v>
      </c>
      <c r="C305">
        <v>100</v>
      </c>
      <c r="D305" t="s">
        <v>861</v>
      </c>
      <c r="E305">
        <v>1</v>
      </c>
      <c r="F305" t="s">
        <v>864</v>
      </c>
      <c r="G305" t="str">
        <f>Tabla3[[#This Row],[IDCatPrin]]&amp;Tabla3[[#This Row],[IDSubCat]]&amp;Tabla3[[#This Row],[Iddetalle]]</f>
        <v>21001</v>
      </c>
      <c r="H305">
        <f>VLOOKUP(Tabla3[[#This Row],[Subcategoria]],$D$374:$E$493,2,0)</f>
        <v>100</v>
      </c>
      <c r="J305">
        <v>100</v>
      </c>
      <c r="K305">
        <v>1</v>
      </c>
      <c r="L305" t="s">
        <v>864</v>
      </c>
    </row>
    <row r="306" spans="1:12" x14ac:dyDescent="0.2">
      <c r="A306">
        <v>2</v>
      </c>
      <c r="B306" t="s">
        <v>868</v>
      </c>
      <c r="C306">
        <v>100</v>
      </c>
      <c r="D306" t="s">
        <v>861</v>
      </c>
      <c r="E306">
        <v>2</v>
      </c>
      <c r="F306" t="s">
        <v>865</v>
      </c>
      <c r="G306" t="str">
        <f>Tabla3[[#This Row],[IDCatPrin]]&amp;Tabla3[[#This Row],[IDSubCat]]&amp;Tabla3[[#This Row],[Iddetalle]]</f>
        <v>21002</v>
      </c>
      <c r="H306">
        <f>VLOOKUP(Tabla3[[#This Row],[Subcategoria]],$D$374:$E$493,2,0)</f>
        <v>100</v>
      </c>
      <c r="J306">
        <v>100</v>
      </c>
      <c r="K306">
        <v>2</v>
      </c>
      <c r="L306" t="s">
        <v>865</v>
      </c>
    </row>
    <row r="307" spans="1:12" x14ac:dyDescent="0.2">
      <c r="A307">
        <v>2</v>
      </c>
      <c r="B307" t="s">
        <v>868</v>
      </c>
      <c r="C307">
        <v>100</v>
      </c>
      <c r="D307" t="s">
        <v>861</v>
      </c>
      <c r="E307">
        <v>3</v>
      </c>
      <c r="F307" t="s">
        <v>866</v>
      </c>
      <c r="G307" t="str">
        <f>Tabla3[[#This Row],[IDCatPrin]]&amp;Tabla3[[#This Row],[IDSubCat]]&amp;Tabla3[[#This Row],[Iddetalle]]</f>
        <v>21003</v>
      </c>
      <c r="H307">
        <f>VLOOKUP(Tabla3[[#This Row],[Subcategoria]],$D$374:$E$493,2,0)</f>
        <v>100</v>
      </c>
      <c r="J307">
        <v>100</v>
      </c>
      <c r="K307">
        <v>3</v>
      </c>
      <c r="L307" t="s">
        <v>866</v>
      </c>
    </row>
    <row r="308" spans="1:12" x14ac:dyDescent="0.2">
      <c r="A308">
        <v>2</v>
      </c>
      <c r="B308" t="s">
        <v>868</v>
      </c>
      <c r="C308">
        <v>100</v>
      </c>
      <c r="D308" t="s">
        <v>861</v>
      </c>
      <c r="E308">
        <v>4</v>
      </c>
      <c r="F308" t="s">
        <v>867</v>
      </c>
      <c r="G308" t="str">
        <f>Tabla3[[#This Row],[IDCatPrin]]&amp;Tabla3[[#This Row],[IDSubCat]]&amp;Tabla3[[#This Row],[Iddetalle]]</f>
        <v>21004</v>
      </c>
      <c r="H308">
        <f>VLOOKUP(Tabla3[[#This Row],[Subcategoria]],$D$374:$E$493,2,0)</f>
        <v>100</v>
      </c>
      <c r="J308">
        <v>100</v>
      </c>
      <c r="K308">
        <v>4</v>
      </c>
      <c r="L308" t="s">
        <v>867</v>
      </c>
    </row>
    <row r="309" spans="1:12" x14ac:dyDescent="0.2">
      <c r="A309">
        <v>13</v>
      </c>
      <c r="B309" t="s">
        <v>1163</v>
      </c>
      <c r="C309">
        <v>101</v>
      </c>
      <c r="D309" t="s">
        <v>1166</v>
      </c>
      <c r="E309">
        <v>1</v>
      </c>
      <c r="G309" t="str">
        <f>Tabla3[[#This Row],[IDCatPrin]]&amp;Tabla3[[#This Row],[IDSubCat]]&amp;Tabla3[[#This Row],[Iddetalle]]</f>
        <v>131011</v>
      </c>
      <c r="H309">
        <f>VLOOKUP(Tabla3[[#This Row],[Subcategoria]],$D$374:$E$493,2,0)</f>
        <v>101</v>
      </c>
      <c r="J309">
        <v>101</v>
      </c>
      <c r="K309">
        <v>1</v>
      </c>
      <c r="L309" t="s">
        <v>1216</v>
      </c>
    </row>
    <row r="310" spans="1:12" x14ac:dyDescent="0.2">
      <c r="A310">
        <v>1</v>
      </c>
      <c r="B310" t="s">
        <v>713</v>
      </c>
      <c r="C310">
        <v>102</v>
      </c>
      <c r="D310" t="s">
        <v>730</v>
      </c>
      <c r="E310">
        <v>1</v>
      </c>
      <c r="F310" t="s">
        <v>812</v>
      </c>
      <c r="G310" t="str">
        <f>Tabla3[[#This Row],[IDCatPrin]]&amp;Tabla3[[#This Row],[IDSubCat]]&amp;Tabla3[[#This Row],[Iddetalle]]</f>
        <v>11021</v>
      </c>
      <c r="H310">
        <f>VLOOKUP(Tabla3[[#This Row],[Subcategoria]],$D$374:$E$493,2,0)</f>
        <v>102</v>
      </c>
      <c r="J310">
        <v>102</v>
      </c>
      <c r="K310">
        <v>1</v>
      </c>
      <c r="L310" t="s">
        <v>812</v>
      </c>
    </row>
    <row r="311" spans="1:12" x14ac:dyDescent="0.2">
      <c r="A311">
        <v>1</v>
      </c>
      <c r="B311" t="s">
        <v>713</v>
      </c>
      <c r="C311">
        <v>102</v>
      </c>
      <c r="D311" t="s">
        <v>730</v>
      </c>
      <c r="E311">
        <v>2</v>
      </c>
      <c r="F311" t="s">
        <v>813</v>
      </c>
      <c r="G311" t="str">
        <f>Tabla3[[#This Row],[IDCatPrin]]&amp;Tabla3[[#This Row],[IDSubCat]]&amp;Tabla3[[#This Row],[Iddetalle]]</f>
        <v>11022</v>
      </c>
      <c r="H311">
        <f>VLOOKUP(Tabla3[[#This Row],[Subcategoria]],$D$374:$E$493,2,0)</f>
        <v>102</v>
      </c>
      <c r="J311">
        <v>102</v>
      </c>
      <c r="K311">
        <v>2</v>
      </c>
      <c r="L311" t="s">
        <v>813</v>
      </c>
    </row>
    <row r="312" spans="1:12" x14ac:dyDescent="0.2">
      <c r="A312">
        <v>1</v>
      </c>
      <c r="B312" t="s">
        <v>713</v>
      </c>
      <c r="C312">
        <v>102</v>
      </c>
      <c r="D312" t="s">
        <v>730</v>
      </c>
      <c r="E312">
        <v>3</v>
      </c>
      <c r="F312" t="s">
        <v>814</v>
      </c>
      <c r="G312" t="str">
        <f>Tabla3[[#This Row],[IDCatPrin]]&amp;Tabla3[[#This Row],[IDSubCat]]&amp;Tabla3[[#This Row],[Iddetalle]]</f>
        <v>11023</v>
      </c>
      <c r="H312">
        <f>VLOOKUP(Tabla3[[#This Row],[Subcategoria]],$D$374:$E$493,2,0)</f>
        <v>102</v>
      </c>
      <c r="J312">
        <v>102</v>
      </c>
      <c r="K312">
        <v>3</v>
      </c>
      <c r="L312" t="s">
        <v>814</v>
      </c>
    </row>
    <row r="313" spans="1:12" x14ac:dyDescent="0.2">
      <c r="A313">
        <v>1</v>
      </c>
      <c r="B313" t="s">
        <v>713</v>
      </c>
      <c r="C313">
        <v>102</v>
      </c>
      <c r="D313" t="s">
        <v>730</v>
      </c>
      <c r="E313">
        <v>4</v>
      </c>
      <c r="F313" t="s">
        <v>815</v>
      </c>
      <c r="G313" t="str">
        <f>Tabla3[[#This Row],[IDCatPrin]]&amp;Tabla3[[#This Row],[IDSubCat]]&amp;Tabla3[[#This Row],[Iddetalle]]</f>
        <v>11024</v>
      </c>
      <c r="H313">
        <f>VLOOKUP(Tabla3[[#This Row],[Subcategoria]],$D$374:$E$493,2,0)</f>
        <v>102</v>
      </c>
      <c r="J313">
        <v>102</v>
      </c>
      <c r="K313">
        <v>4</v>
      </c>
      <c r="L313" t="s">
        <v>815</v>
      </c>
    </row>
    <row r="314" spans="1:12" x14ac:dyDescent="0.2">
      <c r="A314">
        <v>11</v>
      </c>
      <c r="B314" t="s">
        <v>903</v>
      </c>
      <c r="C314">
        <v>103</v>
      </c>
      <c r="D314" t="s">
        <v>898</v>
      </c>
      <c r="E314">
        <v>1</v>
      </c>
      <c r="F314" t="s">
        <v>904</v>
      </c>
      <c r="G314" t="str">
        <f>Tabla3[[#This Row],[IDCatPrin]]&amp;Tabla3[[#This Row],[IDSubCat]]&amp;Tabla3[[#This Row],[Iddetalle]]</f>
        <v>111031</v>
      </c>
      <c r="H314">
        <f>VLOOKUP(Tabla3[[#This Row],[Subcategoria]],$D$374:$E$493,2,0)</f>
        <v>103</v>
      </c>
      <c r="J314">
        <v>103</v>
      </c>
      <c r="K314">
        <v>1</v>
      </c>
      <c r="L314" t="s">
        <v>904</v>
      </c>
    </row>
    <row r="315" spans="1:12" x14ac:dyDescent="0.2">
      <c r="A315">
        <v>11</v>
      </c>
      <c r="B315" t="s">
        <v>903</v>
      </c>
      <c r="C315">
        <v>103</v>
      </c>
      <c r="D315" t="s">
        <v>898</v>
      </c>
      <c r="E315">
        <v>2</v>
      </c>
      <c r="F315" t="s">
        <v>905</v>
      </c>
      <c r="G315" t="str">
        <f>Tabla3[[#This Row],[IDCatPrin]]&amp;Tabla3[[#This Row],[IDSubCat]]&amp;Tabla3[[#This Row],[Iddetalle]]</f>
        <v>111032</v>
      </c>
      <c r="H315">
        <f>VLOOKUP(Tabla3[[#This Row],[Subcategoria]],$D$374:$E$493,2,0)</f>
        <v>103</v>
      </c>
      <c r="J315">
        <v>103</v>
      </c>
      <c r="K315">
        <v>2</v>
      </c>
      <c r="L315" t="s">
        <v>905</v>
      </c>
    </row>
    <row r="316" spans="1:12" x14ac:dyDescent="0.2">
      <c r="A316">
        <v>11</v>
      </c>
      <c r="B316" t="s">
        <v>903</v>
      </c>
      <c r="C316">
        <v>103</v>
      </c>
      <c r="D316" t="s">
        <v>898</v>
      </c>
      <c r="E316">
        <v>3</v>
      </c>
      <c r="F316" t="s">
        <v>906</v>
      </c>
      <c r="G316" t="str">
        <f>Tabla3[[#This Row],[IDCatPrin]]&amp;Tabla3[[#This Row],[IDSubCat]]&amp;Tabla3[[#This Row],[Iddetalle]]</f>
        <v>111033</v>
      </c>
      <c r="H316">
        <f>VLOOKUP(Tabla3[[#This Row],[Subcategoria]],$D$374:$E$493,2,0)</f>
        <v>103</v>
      </c>
      <c r="J316">
        <v>103</v>
      </c>
      <c r="K316">
        <v>3</v>
      </c>
      <c r="L316" t="s">
        <v>906</v>
      </c>
    </row>
    <row r="317" spans="1:12" x14ac:dyDescent="0.2">
      <c r="A317">
        <v>11</v>
      </c>
      <c r="B317" t="s">
        <v>903</v>
      </c>
      <c r="C317">
        <v>103</v>
      </c>
      <c r="D317" t="s">
        <v>898</v>
      </c>
      <c r="E317">
        <v>4</v>
      </c>
      <c r="F317" t="s">
        <v>907</v>
      </c>
      <c r="G317" t="str">
        <f>Tabla3[[#This Row],[IDCatPrin]]&amp;Tabla3[[#This Row],[IDSubCat]]&amp;Tabla3[[#This Row],[Iddetalle]]</f>
        <v>111034</v>
      </c>
      <c r="H317">
        <f>VLOOKUP(Tabla3[[#This Row],[Subcategoria]],$D$374:$E$493,2,0)</f>
        <v>103</v>
      </c>
      <c r="J317">
        <v>103</v>
      </c>
      <c r="K317">
        <v>4</v>
      </c>
      <c r="L317" t="s">
        <v>907</v>
      </c>
    </row>
    <row r="318" spans="1:12" x14ac:dyDescent="0.2">
      <c r="A318">
        <v>11</v>
      </c>
      <c r="B318" t="s">
        <v>903</v>
      </c>
      <c r="C318">
        <v>103</v>
      </c>
      <c r="D318" t="s">
        <v>898</v>
      </c>
      <c r="E318">
        <v>5</v>
      </c>
      <c r="F318" t="s">
        <v>908</v>
      </c>
      <c r="G318" t="str">
        <f>Tabla3[[#This Row],[IDCatPrin]]&amp;Tabla3[[#This Row],[IDSubCat]]&amp;Tabla3[[#This Row],[Iddetalle]]</f>
        <v>111035</v>
      </c>
      <c r="H318">
        <f>VLOOKUP(Tabla3[[#This Row],[Subcategoria]],$D$374:$E$493,2,0)</f>
        <v>103</v>
      </c>
      <c r="J318">
        <v>103</v>
      </c>
      <c r="K318">
        <v>5</v>
      </c>
      <c r="L318" t="s">
        <v>908</v>
      </c>
    </row>
    <row r="319" spans="1:12" x14ac:dyDescent="0.2">
      <c r="A319">
        <v>11</v>
      </c>
      <c r="B319" t="s">
        <v>903</v>
      </c>
      <c r="C319">
        <v>103</v>
      </c>
      <c r="D319" t="s">
        <v>898</v>
      </c>
      <c r="E319">
        <v>6</v>
      </c>
      <c r="F319" t="s">
        <v>909</v>
      </c>
      <c r="G319" t="str">
        <f>Tabla3[[#This Row],[IDCatPrin]]&amp;Tabla3[[#This Row],[IDSubCat]]&amp;Tabla3[[#This Row],[Iddetalle]]</f>
        <v>111036</v>
      </c>
      <c r="H319">
        <f>VLOOKUP(Tabla3[[#This Row],[Subcategoria]],$D$374:$E$493,2,0)</f>
        <v>103</v>
      </c>
      <c r="J319">
        <v>103</v>
      </c>
      <c r="K319">
        <v>6</v>
      </c>
      <c r="L319" t="s">
        <v>909</v>
      </c>
    </row>
    <row r="320" spans="1:12" x14ac:dyDescent="0.2">
      <c r="A320">
        <v>11</v>
      </c>
      <c r="B320" t="s">
        <v>903</v>
      </c>
      <c r="C320">
        <v>103</v>
      </c>
      <c r="D320" t="s">
        <v>898</v>
      </c>
      <c r="E320">
        <v>7</v>
      </c>
      <c r="F320" t="s">
        <v>910</v>
      </c>
      <c r="G320" t="str">
        <f>Tabla3[[#This Row],[IDCatPrin]]&amp;Tabla3[[#This Row],[IDSubCat]]&amp;Tabla3[[#This Row],[Iddetalle]]</f>
        <v>111037</v>
      </c>
      <c r="H320">
        <f>VLOOKUP(Tabla3[[#This Row],[Subcategoria]],$D$374:$E$493,2,0)</f>
        <v>103</v>
      </c>
      <c r="J320">
        <v>103</v>
      </c>
      <c r="K320">
        <v>7</v>
      </c>
      <c r="L320" t="s">
        <v>910</v>
      </c>
    </row>
    <row r="321" spans="1:12" x14ac:dyDescent="0.2">
      <c r="A321">
        <v>12</v>
      </c>
      <c r="B321" t="s">
        <v>972</v>
      </c>
      <c r="C321">
        <v>104</v>
      </c>
      <c r="D321" t="s">
        <v>968</v>
      </c>
      <c r="E321">
        <v>1</v>
      </c>
      <c r="F321" t="s">
        <v>1003</v>
      </c>
      <c r="G321" t="str">
        <f>Tabla3[[#This Row],[IDCatPrin]]&amp;Tabla3[[#This Row],[IDSubCat]]&amp;Tabla3[[#This Row],[Iddetalle]]</f>
        <v>121041</v>
      </c>
      <c r="H321">
        <f>VLOOKUP(Tabla3[[#This Row],[Subcategoria]],$D$374:$E$493,2,0)</f>
        <v>104</v>
      </c>
      <c r="J321">
        <v>104</v>
      </c>
      <c r="K321">
        <v>1</v>
      </c>
      <c r="L321" t="s">
        <v>1003</v>
      </c>
    </row>
    <row r="322" spans="1:12" x14ac:dyDescent="0.2">
      <c r="A322">
        <v>14</v>
      </c>
      <c r="B322" t="s">
        <v>881</v>
      </c>
      <c r="C322">
        <v>105</v>
      </c>
      <c r="D322" t="s">
        <v>877</v>
      </c>
      <c r="E322">
        <v>1</v>
      </c>
      <c r="F322" t="s">
        <v>884</v>
      </c>
      <c r="G322" t="str">
        <f>Tabla3[[#This Row],[IDCatPrin]]&amp;Tabla3[[#This Row],[IDSubCat]]&amp;Tabla3[[#This Row],[Iddetalle]]</f>
        <v>141051</v>
      </c>
      <c r="H322">
        <f>VLOOKUP(Tabla3[[#This Row],[Subcategoria]],$D$374:$E$493,2,0)</f>
        <v>105</v>
      </c>
      <c r="J322">
        <v>105</v>
      </c>
      <c r="K322">
        <v>1</v>
      </c>
      <c r="L322" t="s">
        <v>884</v>
      </c>
    </row>
    <row r="323" spans="1:12" x14ac:dyDescent="0.2">
      <c r="A323">
        <v>4</v>
      </c>
      <c r="B323" t="s">
        <v>953</v>
      </c>
      <c r="C323">
        <v>106</v>
      </c>
      <c r="D323" t="s">
        <v>949</v>
      </c>
      <c r="E323">
        <v>1</v>
      </c>
      <c r="F323" t="s">
        <v>954</v>
      </c>
      <c r="G323" t="str">
        <f>Tabla3[[#This Row],[IDCatPrin]]&amp;Tabla3[[#This Row],[IDSubCat]]&amp;Tabla3[[#This Row],[Iddetalle]]</f>
        <v>41061</v>
      </c>
      <c r="H323">
        <f>VLOOKUP(Tabla3[[#This Row],[Subcategoria]],$D$374:$E$493,2,0)</f>
        <v>106</v>
      </c>
      <c r="J323">
        <v>106</v>
      </c>
      <c r="K323">
        <v>1</v>
      </c>
      <c r="L323" t="s">
        <v>954</v>
      </c>
    </row>
    <row r="324" spans="1:12" x14ac:dyDescent="0.2">
      <c r="A324">
        <v>7</v>
      </c>
      <c r="B324" t="s">
        <v>1138</v>
      </c>
      <c r="C324">
        <v>107</v>
      </c>
      <c r="D324" t="s">
        <v>1129</v>
      </c>
      <c r="E324">
        <v>1</v>
      </c>
      <c r="F324" t="s">
        <v>1149</v>
      </c>
      <c r="G324" t="str">
        <f>Tabla3[[#This Row],[IDCatPrin]]&amp;Tabla3[[#This Row],[IDSubCat]]&amp;Tabla3[[#This Row],[Iddetalle]]</f>
        <v>71071</v>
      </c>
      <c r="H324">
        <f>VLOOKUP(Tabla3[[#This Row],[Subcategoria]],$D$374:$E$493,2,0)</f>
        <v>107</v>
      </c>
      <c r="J324">
        <v>107</v>
      </c>
      <c r="K324">
        <v>1</v>
      </c>
      <c r="L324" t="s">
        <v>1149</v>
      </c>
    </row>
    <row r="325" spans="1:12" x14ac:dyDescent="0.2">
      <c r="A325">
        <v>7</v>
      </c>
      <c r="B325" t="s">
        <v>1138</v>
      </c>
      <c r="C325">
        <v>107</v>
      </c>
      <c r="D325" t="s">
        <v>1129</v>
      </c>
      <c r="E325">
        <v>2</v>
      </c>
      <c r="F325" t="s">
        <v>1150</v>
      </c>
      <c r="G325" t="str">
        <f>Tabla3[[#This Row],[IDCatPrin]]&amp;Tabla3[[#This Row],[IDSubCat]]&amp;Tabla3[[#This Row],[Iddetalle]]</f>
        <v>71072</v>
      </c>
      <c r="H325">
        <f>VLOOKUP(Tabla3[[#This Row],[Subcategoria]],$D$374:$E$493,2,0)</f>
        <v>107</v>
      </c>
      <c r="J325">
        <v>107</v>
      </c>
      <c r="K325">
        <v>2</v>
      </c>
      <c r="L325" t="s">
        <v>1150</v>
      </c>
    </row>
    <row r="326" spans="1:12" x14ac:dyDescent="0.2">
      <c r="A326">
        <v>1</v>
      </c>
      <c r="B326" t="s">
        <v>713</v>
      </c>
      <c r="C326">
        <v>108</v>
      </c>
      <c r="D326" t="s">
        <v>719</v>
      </c>
      <c r="E326">
        <v>1</v>
      </c>
      <c r="F326" t="s">
        <v>764</v>
      </c>
      <c r="G326" t="str">
        <f>Tabla3[[#This Row],[IDCatPrin]]&amp;Tabla3[[#This Row],[IDSubCat]]&amp;Tabla3[[#This Row],[Iddetalle]]</f>
        <v>11081</v>
      </c>
      <c r="H326">
        <f>VLOOKUP(Tabla3[[#This Row],[Subcategoria]],$D$374:$E$493,2,0)</f>
        <v>108</v>
      </c>
      <c r="J326">
        <v>108</v>
      </c>
      <c r="K326">
        <v>1</v>
      </c>
      <c r="L326" t="s">
        <v>764</v>
      </c>
    </row>
    <row r="327" spans="1:12" x14ac:dyDescent="0.2">
      <c r="A327">
        <v>1</v>
      </c>
      <c r="B327" t="s">
        <v>713</v>
      </c>
      <c r="C327">
        <v>108</v>
      </c>
      <c r="D327" t="s">
        <v>719</v>
      </c>
      <c r="E327">
        <v>2</v>
      </c>
      <c r="F327" t="s">
        <v>765</v>
      </c>
      <c r="G327" t="str">
        <f>Tabla3[[#This Row],[IDCatPrin]]&amp;Tabla3[[#This Row],[IDSubCat]]&amp;Tabla3[[#This Row],[Iddetalle]]</f>
        <v>11082</v>
      </c>
      <c r="H327">
        <f>VLOOKUP(Tabla3[[#This Row],[Subcategoria]],$D$374:$E$493,2,0)</f>
        <v>108</v>
      </c>
      <c r="J327">
        <v>108</v>
      </c>
      <c r="K327">
        <v>2</v>
      </c>
      <c r="L327" t="s">
        <v>765</v>
      </c>
    </row>
    <row r="328" spans="1:12" x14ac:dyDescent="0.2">
      <c r="A328">
        <v>1</v>
      </c>
      <c r="B328" t="s">
        <v>713</v>
      </c>
      <c r="C328">
        <v>108</v>
      </c>
      <c r="D328" t="s">
        <v>719</v>
      </c>
      <c r="E328">
        <v>3</v>
      </c>
      <c r="F328" t="s">
        <v>766</v>
      </c>
      <c r="G328" t="str">
        <f>Tabla3[[#This Row],[IDCatPrin]]&amp;Tabla3[[#This Row],[IDSubCat]]&amp;Tabla3[[#This Row],[Iddetalle]]</f>
        <v>11083</v>
      </c>
      <c r="H328">
        <f>VLOOKUP(Tabla3[[#This Row],[Subcategoria]],$D$374:$E$493,2,0)</f>
        <v>108</v>
      </c>
      <c r="J328">
        <v>108</v>
      </c>
      <c r="K328">
        <v>3</v>
      </c>
      <c r="L328" t="s">
        <v>766</v>
      </c>
    </row>
    <row r="329" spans="1:12" x14ac:dyDescent="0.2">
      <c r="A329">
        <v>1</v>
      </c>
      <c r="B329" t="s">
        <v>713</v>
      </c>
      <c r="C329">
        <v>108</v>
      </c>
      <c r="D329" t="s">
        <v>719</v>
      </c>
      <c r="E329">
        <v>4</v>
      </c>
      <c r="F329" t="s">
        <v>767</v>
      </c>
      <c r="G329" t="str">
        <f>Tabla3[[#This Row],[IDCatPrin]]&amp;Tabla3[[#This Row],[IDSubCat]]&amp;Tabla3[[#This Row],[Iddetalle]]</f>
        <v>11084</v>
      </c>
      <c r="H329">
        <f>VLOOKUP(Tabla3[[#This Row],[Subcategoria]],$D$374:$E$493,2,0)</f>
        <v>108</v>
      </c>
      <c r="J329">
        <v>108</v>
      </c>
      <c r="K329">
        <v>4</v>
      </c>
      <c r="L329" t="s">
        <v>767</v>
      </c>
    </row>
    <row r="330" spans="1:12" x14ac:dyDescent="0.2">
      <c r="A330">
        <v>1</v>
      </c>
      <c r="B330" t="s">
        <v>713</v>
      </c>
      <c r="C330">
        <v>108</v>
      </c>
      <c r="D330" t="s">
        <v>719</v>
      </c>
      <c r="E330">
        <v>5</v>
      </c>
      <c r="F330" t="s">
        <v>768</v>
      </c>
      <c r="G330" t="str">
        <f>Tabla3[[#This Row],[IDCatPrin]]&amp;Tabla3[[#This Row],[IDSubCat]]&amp;Tabla3[[#This Row],[Iddetalle]]</f>
        <v>11085</v>
      </c>
      <c r="H330">
        <f>VLOOKUP(Tabla3[[#This Row],[Subcategoria]],$D$374:$E$493,2,0)</f>
        <v>108</v>
      </c>
      <c r="J330">
        <v>108</v>
      </c>
      <c r="K330">
        <v>5</v>
      </c>
      <c r="L330" t="s">
        <v>768</v>
      </c>
    </row>
    <row r="331" spans="1:12" x14ac:dyDescent="0.2">
      <c r="A331">
        <v>1</v>
      </c>
      <c r="B331" t="s">
        <v>713</v>
      </c>
      <c r="C331">
        <v>108</v>
      </c>
      <c r="D331" t="s">
        <v>719</v>
      </c>
      <c r="E331">
        <v>6</v>
      </c>
      <c r="F331" t="s">
        <v>769</v>
      </c>
      <c r="G331" t="str">
        <f>Tabla3[[#This Row],[IDCatPrin]]&amp;Tabla3[[#This Row],[IDSubCat]]&amp;Tabla3[[#This Row],[Iddetalle]]</f>
        <v>11086</v>
      </c>
      <c r="H331">
        <f>VLOOKUP(Tabla3[[#This Row],[Subcategoria]],$D$374:$E$493,2,0)</f>
        <v>108</v>
      </c>
      <c r="J331">
        <v>108</v>
      </c>
      <c r="K331">
        <v>6</v>
      </c>
      <c r="L331" t="s">
        <v>769</v>
      </c>
    </row>
    <row r="332" spans="1:12" x14ac:dyDescent="0.2">
      <c r="A332">
        <v>1</v>
      </c>
      <c r="B332" t="s">
        <v>713</v>
      </c>
      <c r="C332">
        <v>108</v>
      </c>
      <c r="D332" t="s">
        <v>719</v>
      </c>
      <c r="E332">
        <v>7</v>
      </c>
      <c r="F332" t="s">
        <v>770</v>
      </c>
      <c r="G332" t="str">
        <f>Tabla3[[#This Row],[IDCatPrin]]&amp;Tabla3[[#This Row],[IDSubCat]]&amp;Tabla3[[#This Row],[Iddetalle]]</f>
        <v>11087</v>
      </c>
      <c r="H332">
        <f>VLOOKUP(Tabla3[[#This Row],[Subcategoria]],$D$374:$E$493,2,0)</f>
        <v>108</v>
      </c>
      <c r="J332">
        <v>108</v>
      </c>
      <c r="K332">
        <v>7</v>
      </c>
      <c r="L332" t="s">
        <v>770</v>
      </c>
    </row>
    <row r="333" spans="1:12" x14ac:dyDescent="0.2">
      <c r="A333">
        <v>7</v>
      </c>
      <c r="B333" t="s">
        <v>1138</v>
      </c>
      <c r="C333">
        <v>109</v>
      </c>
      <c r="D333" t="s">
        <v>1117</v>
      </c>
      <c r="E333">
        <v>1</v>
      </c>
      <c r="G333" t="str">
        <f>Tabla3[[#This Row],[IDCatPrin]]&amp;Tabla3[[#This Row],[IDSubCat]]&amp;Tabla3[[#This Row],[Iddetalle]]</f>
        <v>71091</v>
      </c>
      <c r="H333">
        <f>VLOOKUP(Tabla3[[#This Row],[Subcategoria]],$D$374:$E$493,2,0)</f>
        <v>109</v>
      </c>
      <c r="J333">
        <v>109</v>
      </c>
      <c r="K333">
        <v>1</v>
      </c>
      <c r="L333" t="s">
        <v>1216</v>
      </c>
    </row>
    <row r="334" spans="1:12" x14ac:dyDescent="0.2">
      <c r="A334">
        <v>7</v>
      </c>
      <c r="B334" t="s">
        <v>1138</v>
      </c>
      <c r="C334">
        <v>110</v>
      </c>
      <c r="D334" t="s">
        <v>1111</v>
      </c>
      <c r="E334">
        <v>1</v>
      </c>
      <c r="G334" t="str">
        <f>Tabla3[[#This Row],[IDCatPrin]]&amp;Tabla3[[#This Row],[IDSubCat]]&amp;Tabla3[[#This Row],[Iddetalle]]</f>
        <v>71101</v>
      </c>
      <c r="H334">
        <f>VLOOKUP(Tabla3[[#This Row],[Subcategoria]],$D$374:$E$493,2,0)</f>
        <v>110</v>
      </c>
      <c r="J334">
        <v>110</v>
      </c>
      <c r="K334">
        <v>1</v>
      </c>
      <c r="L334" t="s">
        <v>1216</v>
      </c>
    </row>
    <row r="335" spans="1:12" x14ac:dyDescent="0.2">
      <c r="A335">
        <v>7</v>
      </c>
      <c r="B335" t="s">
        <v>1138</v>
      </c>
      <c r="C335">
        <v>111</v>
      </c>
      <c r="D335" t="s">
        <v>1115</v>
      </c>
      <c r="E335">
        <v>1</v>
      </c>
      <c r="G335" t="str">
        <f>Tabla3[[#This Row],[IDCatPrin]]&amp;Tabla3[[#This Row],[IDSubCat]]&amp;Tabla3[[#This Row],[Iddetalle]]</f>
        <v>71111</v>
      </c>
      <c r="H335">
        <f>VLOOKUP(Tabla3[[#This Row],[Subcategoria]],$D$374:$E$493,2,0)</f>
        <v>111</v>
      </c>
      <c r="J335">
        <v>111</v>
      </c>
      <c r="K335">
        <v>1</v>
      </c>
      <c r="L335" t="s">
        <v>1216</v>
      </c>
    </row>
    <row r="336" spans="1:12" x14ac:dyDescent="0.2">
      <c r="A336">
        <v>7</v>
      </c>
      <c r="B336" t="s">
        <v>1138</v>
      </c>
      <c r="C336">
        <v>112</v>
      </c>
      <c r="D336" t="s">
        <v>1127</v>
      </c>
      <c r="E336">
        <v>1</v>
      </c>
      <c r="G336" t="str">
        <f>Tabla3[[#This Row],[IDCatPrin]]&amp;Tabla3[[#This Row],[IDSubCat]]&amp;Tabla3[[#This Row],[Iddetalle]]</f>
        <v>71121</v>
      </c>
      <c r="H336">
        <f>VLOOKUP(Tabla3[[#This Row],[Subcategoria]],$D$374:$E$493,2,0)</f>
        <v>112</v>
      </c>
      <c r="J336">
        <v>112</v>
      </c>
      <c r="K336">
        <v>1</v>
      </c>
      <c r="L336" t="s">
        <v>1216</v>
      </c>
    </row>
    <row r="337" spans="1:12" x14ac:dyDescent="0.2">
      <c r="A337">
        <v>1</v>
      </c>
      <c r="B337" t="s">
        <v>713</v>
      </c>
      <c r="C337">
        <v>113</v>
      </c>
      <c r="D337" t="s">
        <v>714</v>
      </c>
      <c r="E337">
        <v>1</v>
      </c>
      <c r="F337" t="s">
        <v>735</v>
      </c>
      <c r="G337" t="str">
        <f>Tabla3[[#This Row],[IDCatPrin]]&amp;Tabla3[[#This Row],[IDSubCat]]&amp;Tabla3[[#This Row],[Iddetalle]]</f>
        <v>11131</v>
      </c>
      <c r="H337">
        <f>VLOOKUP(Tabla3[[#This Row],[Subcategoria]],$D$374:$E$493,2,0)</f>
        <v>113</v>
      </c>
      <c r="J337">
        <v>113</v>
      </c>
      <c r="K337">
        <v>1</v>
      </c>
      <c r="L337" t="s">
        <v>735</v>
      </c>
    </row>
    <row r="338" spans="1:12" x14ac:dyDescent="0.2">
      <c r="A338">
        <v>1</v>
      </c>
      <c r="B338" t="s">
        <v>713</v>
      </c>
      <c r="C338">
        <v>113</v>
      </c>
      <c r="D338" t="s">
        <v>714</v>
      </c>
      <c r="E338">
        <v>2</v>
      </c>
      <c r="F338" t="s">
        <v>736</v>
      </c>
      <c r="G338" t="str">
        <f>Tabla3[[#This Row],[IDCatPrin]]&amp;Tabla3[[#This Row],[IDSubCat]]&amp;Tabla3[[#This Row],[Iddetalle]]</f>
        <v>11132</v>
      </c>
      <c r="H338">
        <f>VLOOKUP(Tabla3[[#This Row],[Subcategoria]],$D$374:$E$493,2,0)</f>
        <v>113</v>
      </c>
      <c r="J338">
        <v>113</v>
      </c>
      <c r="K338">
        <v>2</v>
      </c>
      <c r="L338" t="s">
        <v>736</v>
      </c>
    </row>
    <row r="339" spans="1:12" x14ac:dyDescent="0.2">
      <c r="A339">
        <v>1</v>
      </c>
      <c r="B339" t="s">
        <v>713</v>
      </c>
      <c r="C339">
        <v>113</v>
      </c>
      <c r="D339" t="s">
        <v>714</v>
      </c>
      <c r="E339">
        <v>3</v>
      </c>
      <c r="F339" t="s">
        <v>737</v>
      </c>
      <c r="G339" t="str">
        <f>Tabla3[[#This Row],[IDCatPrin]]&amp;Tabla3[[#This Row],[IDSubCat]]&amp;Tabla3[[#This Row],[Iddetalle]]</f>
        <v>11133</v>
      </c>
      <c r="H339">
        <f>VLOOKUP(Tabla3[[#This Row],[Subcategoria]],$D$374:$E$493,2,0)</f>
        <v>113</v>
      </c>
      <c r="J339">
        <v>113</v>
      </c>
      <c r="K339">
        <v>3</v>
      </c>
      <c r="L339" t="s">
        <v>737</v>
      </c>
    </row>
    <row r="340" spans="1:12" x14ac:dyDescent="0.2">
      <c r="A340">
        <v>1</v>
      </c>
      <c r="B340" t="s">
        <v>713</v>
      </c>
      <c r="C340">
        <v>113</v>
      </c>
      <c r="D340" t="s">
        <v>714</v>
      </c>
      <c r="E340">
        <v>4</v>
      </c>
      <c r="F340" t="s">
        <v>738</v>
      </c>
      <c r="G340" t="str">
        <f>Tabla3[[#This Row],[IDCatPrin]]&amp;Tabla3[[#This Row],[IDSubCat]]&amp;Tabla3[[#This Row],[Iddetalle]]</f>
        <v>11134</v>
      </c>
      <c r="H340">
        <f>VLOOKUP(Tabla3[[#This Row],[Subcategoria]],$D$374:$E$493,2,0)</f>
        <v>113</v>
      </c>
      <c r="J340">
        <v>113</v>
      </c>
      <c r="K340">
        <v>4</v>
      </c>
      <c r="L340" t="s">
        <v>738</v>
      </c>
    </row>
    <row r="341" spans="1:12" x14ac:dyDescent="0.2">
      <c r="A341">
        <v>1</v>
      </c>
      <c r="B341" t="s">
        <v>713</v>
      </c>
      <c r="C341">
        <v>113</v>
      </c>
      <c r="D341" t="s">
        <v>714</v>
      </c>
      <c r="E341">
        <v>5</v>
      </c>
      <c r="F341" t="s">
        <v>739</v>
      </c>
      <c r="G341" t="str">
        <f>Tabla3[[#This Row],[IDCatPrin]]&amp;Tabla3[[#This Row],[IDSubCat]]&amp;Tabla3[[#This Row],[Iddetalle]]</f>
        <v>11135</v>
      </c>
      <c r="H341">
        <f>VLOOKUP(Tabla3[[#This Row],[Subcategoria]],$D$374:$E$493,2,0)</f>
        <v>113</v>
      </c>
      <c r="J341">
        <v>113</v>
      </c>
      <c r="K341">
        <v>5</v>
      </c>
      <c r="L341" t="s">
        <v>739</v>
      </c>
    </row>
    <row r="342" spans="1:12" x14ac:dyDescent="0.2">
      <c r="A342">
        <v>1</v>
      </c>
      <c r="B342" t="s">
        <v>713</v>
      </c>
      <c r="C342">
        <v>113</v>
      </c>
      <c r="D342" t="s">
        <v>714</v>
      </c>
      <c r="E342">
        <v>6</v>
      </c>
      <c r="F342" t="s">
        <v>740</v>
      </c>
      <c r="G342" t="str">
        <f>Tabla3[[#This Row],[IDCatPrin]]&amp;Tabla3[[#This Row],[IDSubCat]]&amp;Tabla3[[#This Row],[Iddetalle]]</f>
        <v>11136</v>
      </c>
      <c r="H342">
        <f>VLOOKUP(Tabla3[[#This Row],[Subcategoria]],$D$374:$E$493,2,0)</f>
        <v>113</v>
      </c>
      <c r="J342">
        <v>113</v>
      </c>
      <c r="K342">
        <v>6</v>
      </c>
      <c r="L342" t="s">
        <v>740</v>
      </c>
    </row>
    <row r="343" spans="1:12" x14ac:dyDescent="0.2">
      <c r="A343">
        <v>1</v>
      </c>
      <c r="B343" t="s">
        <v>713</v>
      </c>
      <c r="C343">
        <v>113</v>
      </c>
      <c r="D343" t="s">
        <v>714</v>
      </c>
      <c r="E343">
        <v>7</v>
      </c>
      <c r="F343" t="s">
        <v>741</v>
      </c>
      <c r="G343" t="str">
        <f>Tabla3[[#This Row],[IDCatPrin]]&amp;Tabla3[[#This Row],[IDSubCat]]&amp;Tabla3[[#This Row],[Iddetalle]]</f>
        <v>11137</v>
      </c>
      <c r="H343">
        <f>VLOOKUP(Tabla3[[#This Row],[Subcategoria]],$D$374:$E$493,2,0)</f>
        <v>113</v>
      </c>
      <c r="J343">
        <v>113</v>
      </c>
      <c r="K343">
        <v>7</v>
      </c>
      <c r="L343" t="s">
        <v>741</v>
      </c>
    </row>
    <row r="344" spans="1:12" x14ac:dyDescent="0.2">
      <c r="A344">
        <v>12</v>
      </c>
      <c r="B344" t="s">
        <v>972</v>
      </c>
      <c r="C344">
        <v>114</v>
      </c>
      <c r="D344" t="s">
        <v>965</v>
      </c>
      <c r="E344">
        <v>1</v>
      </c>
      <c r="F344" t="s">
        <v>999</v>
      </c>
      <c r="G344" t="str">
        <f>Tabla3[[#This Row],[IDCatPrin]]&amp;Tabla3[[#This Row],[IDSubCat]]&amp;Tabla3[[#This Row],[Iddetalle]]</f>
        <v>121141</v>
      </c>
      <c r="H344">
        <f>VLOOKUP(Tabla3[[#This Row],[Subcategoria]],$D$374:$E$493,2,0)</f>
        <v>114</v>
      </c>
      <c r="J344">
        <v>114</v>
      </c>
      <c r="K344">
        <v>1</v>
      </c>
      <c r="L344" t="s">
        <v>999</v>
      </c>
    </row>
    <row r="345" spans="1:12" x14ac:dyDescent="0.2">
      <c r="A345">
        <v>14</v>
      </c>
      <c r="B345" t="s">
        <v>881</v>
      </c>
      <c r="C345">
        <v>115</v>
      </c>
      <c r="D345" t="s">
        <v>879</v>
      </c>
      <c r="E345">
        <v>1</v>
      </c>
      <c r="F345" t="s">
        <v>892</v>
      </c>
      <c r="G345" t="str">
        <f>Tabla3[[#This Row],[IDCatPrin]]&amp;Tabla3[[#This Row],[IDSubCat]]&amp;Tabla3[[#This Row],[Iddetalle]]</f>
        <v>141151</v>
      </c>
      <c r="H345">
        <f>VLOOKUP(Tabla3[[#This Row],[Subcategoria]],$D$374:$E$493,2,0)</f>
        <v>115</v>
      </c>
      <c r="J345">
        <v>115</v>
      </c>
      <c r="K345">
        <v>1</v>
      </c>
      <c r="L345" t="s">
        <v>892</v>
      </c>
    </row>
    <row r="346" spans="1:12" x14ac:dyDescent="0.2">
      <c r="A346">
        <v>14</v>
      </c>
      <c r="B346" t="s">
        <v>881</v>
      </c>
      <c r="C346">
        <v>115</v>
      </c>
      <c r="D346" t="s">
        <v>879</v>
      </c>
      <c r="E346">
        <v>2</v>
      </c>
      <c r="F346" t="s">
        <v>893</v>
      </c>
      <c r="G346" t="str">
        <f>Tabla3[[#This Row],[IDCatPrin]]&amp;Tabla3[[#This Row],[IDSubCat]]&amp;Tabla3[[#This Row],[Iddetalle]]</f>
        <v>141152</v>
      </c>
      <c r="H346">
        <f>VLOOKUP(Tabla3[[#This Row],[Subcategoria]],$D$374:$E$493,2,0)</f>
        <v>115</v>
      </c>
      <c r="J346">
        <v>115</v>
      </c>
      <c r="K346">
        <v>2</v>
      </c>
      <c r="L346" t="s">
        <v>893</v>
      </c>
    </row>
    <row r="347" spans="1:12" x14ac:dyDescent="0.2">
      <c r="A347">
        <v>14</v>
      </c>
      <c r="B347" t="s">
        <v>881</v>
      </c>
      <c r="C347">
        <v>115</v>
      </c>
      <c r="D347" t="s">
        <v>879</v>
      </c>
      <c r="E347">
        <v>3</v>
      </c>
      <c r="F347" t="s">
        <v>894</v>
      </c>
      <c r="G347" t="str">
        <f>Tabla3[[#This Row],[IDCatPrin]]&amp;Tabla3[[#This Row],[IDSubCat]]&amp;Tabla3[[#This Row],[Iddetalle]]</f>
        <v>141153</v>
      </c>
      <c r="H347">
        <f>VLOOKUP(Tabla3[[#This Row],[Subcategoria]],$D$374:$E$493,2,0)</f>
        <v>115</v>
      </c>
      <c r="J347">
        <v>115</v>
      </c>
      <c r="K347">
        <v>3</v>
      </c>
      <c r="L347" t="s">
        <v>894</v>
      </c>
    </row>
    <row r="348" spans="1:12" x14ac:dyDescent="0.2">
      <c r="A348">
        <v>14</v>
      </c>
      <c r="B348" t="s">
        <v>881</v>
      </c>
      <c r="C348">
        <v>115</v>
      </c>
      <c r="D348" t="s">
        <v>879</v>
      </c>
      <c r="E348">
        <v>4</v>
      </c>
      <c r="F348" t="s">
        <v>895</v>
      </c>
      <c r="G348" t="str">
        <f>Tabla3[[#This Row],[IDCatPrin]]&amp;Tabla3[[#This Row],[IDSubCat]]&amp;Tabla3[[#This Row],[Iddetalle]]</f>
        <v>141154</v>
      </c>
      <c r="H348">
        <f>VLOOKUP(Tabla3[[#This Row],[Subcategoria]],$D$374:$E$493,2,0)</f>
        <v>115</v>
      </c>
      <c r="J348">
        <v>115</v>
      </c>
      <c r="K348">
        <v>4</v>
      </c>
      <c r="L348" t="s">
        <v>895</v>
      </c>
    </row>
    <row r="349" spans="1:12" x14ac:dyDescent="0.2">
      <c r="A349">
        <v>8</v>
      </c>
      <c r="B349" t="s">
        <v>934</v>
      </c>
      <c r="C349">
        <v>116</v>
      </c>
      <c r="D349" t="s">
        <v>942</v>
      </c>
      <c r="E349">
        <v>1</v>
      </c>
      <c r="F349" t="s">
        <v>943</v>
      </c>
      <c r="G349" t="str">
        <f>Tabla3[[#This Row],[IDCatPrin]]&amp;Tabla3[[#This Row],[IDSubCat]]&amp;Tabla3[[#This Row],[Iddetalle]]</f>
        <v>81161</v>
      </c>
      <c r="H349">
        <f>VLOOKUP(Tabla3[[#This Row],[Subcategoria]],$D$374:$E$493,2,0)</f>
        <v>116</v>
      </c>
      <c r="J349">
        <v>116</v>
      </c>
      <c r="K349">
        <v>1</v>
      </c>
      <c r="L349" t="s">
        <v>943</v>
      </c>
    </row>
    <row r="350" spans="1:12" x14ac:dyDescent="0.2">
      <c r="A350">
        <v>8</v>
      </c>
      <c r="B350" t="s">
        <v>934</v>
      </c>
      <c r="C350">
        <v>116</v>
      </c>
      <c r="D350" t="s">
        <v>942</v>
      </c>
      <c r="E350">
        <v>2</v>
      </c>
      <c r="F350" t="s">
        <v>944</v>
      </c>
      <c r="G350" t="str">
        <f>Tabla3[[#This Row],[IDCatPrin]]&amp;Tabla3[[#This Row],[IDSubCat]]&amp;Tabla3[[#This Row],[Iddetalle]]</f>
        <v>81162</v>
      </c>
      <c r="H350">
        <f>VLOOKUP(Tabla3[[#This Row],[Subcategoria]],$D$374:$E$493,2,0)</f>
        <v>116</v>
      </c>
      <c r="J350">
        <v>116</v>
      </c>
      <c r="K350">
        <v>2</v>
      </c>
      <c r="L350" t="s">
        <v>944</v>
      </c>
    </row>
    <row r="351" spans="1:12" x14ac:dyDescent="0.2">
      <c r="A351">
        <v>8</v>
      </c>
      <c r="B351" t="s">
        <v>934</v>
      </c>
      <c r="C351">
        <v>116</v>
      </c>
      <c r="D351" t="s">
        <v>942</v>
      </c>
      <c r="E351">
        <v>3</v>
      </c>
      <c r="F351" t="s">
        <v>945</v>
      </c>
      <c r="G351" t="str">
        <f>Tabla3[[#This Row],[IDCatPrin]]&amp;Tabla3[[#This Row],[IDSubCat]]&amp;Tabla3[[#This Row],[Iddetalle]]</f>
        <v>81163</v>
      </c>
      <c r="H351">
        <f>VLOOKUP(Tabla3[[#This Row],[Subcategoria]],$D$374:$E$493,2,0)</f>
        <v>116</v>
      </c>
      <c r="J351">
        <v>116</v>
      </c>
      <c r="K351">
        <v>3</v>
      </c>
      <c r="L351" t="s">
        <v>945</v>
      </c>
    </row>
    <row r="352" spans="1:12" x14ac:dyDescent="0.2">
      <c r="A352">
        <v>8</v>
      </c>
      <c r="B352" t="s">
        <v>934</v>
      </c>
      <c r="C352">
        <v>116</v>
      </c>
      <c r="D352" t="s">
        <v>942</v>
      </c>
      <c r="E352">
        <v>4</v>
      </c>
      <c r="F352" t="s">
        <v>946</v>
      </c>
      <c r="G352" t="str">
        <f>Tabla3[[#This Row],[IDCatPrin]]&amp;Tabla3[[#This Row],[IDSubCat]]&amp;Tabla3[[#This Row],[Iddetalle]]</f>
        <v>81164</v>
      </c>
      <c r="H352">
        <f>VLOOKUP(Tabla3[[#This Row],[Subcategoria]],$D$374:$E$493,2,0)</f>
        <v>116</v>
      </c>
      <c r="J352">
        <v>116</v>
      </c>
      <c r="K352">
        <v>4</v>
      </c>
      <c r="L352" t="s">
        <v>946</v>
      </c>
    </row>
    <row r="353" spans="1:12" x14ac:dyDescent="0.2">
      <c r="A353">
        <v>8</v>
      </c>
      <c r="B353" t="s">
        <v>934</v>
      </c>
      <c r="C353">
        <v>116</v>
      </c>
      <c r="D353" t="s">
        <v>942</v>
      </c>
      <c r="E353">
        <v>5</v>
      </c>
      <c r="F353" t="s">
        <v>947</v>
      </c>
      <c r="G353" t="str">
        <f>Tabla3[[#This Row],[IDCatPrin]]&amp;Tabla3[[#This Row],[IDSubCat]]&amp;Tabla3[[#This Row],[Iddetalle]]</f>
        <v>81165</v>
      </c>
      <c r="H353">
        <f>VLOOKUP(Tabla3[[#This Row],[Subcategoria]],$D$374:$E$493,2,0)</f>
        <v>116</v>
      </c>
      <c r="J353">
        <v>116</v>
      </c>
      <c r="K353">
        <v>5</v>
      </c>
      <c r="L353" t="s">
        <v>947</v>
      </c>
    </row>
    <row r="354" spans="1:12" x14ac:dyDescent="0.2">
      <c r="A354">
        <v>8</v>
      </c>
      <c r="B354" t="s">
        <v>934</v>
      </c>
      <c r="C354">
        <v>116</v>
      </c>
      <c r="D354" t="s">
        <v>942</v>
      </c>
      <c r="E354">
        <v>6</v>
      </c>
      <c r="F354" t="s">
        <v>948</v>
      </c>
      <c r="G354" t="str">
        <f>Tabla3[[#This Row],[IDCatPrin]]&amp;Tabla3[[#This Row],[IDSubCat]]&amp;Tabla3[[#This Row],[Iddetalle]]</f>
        <v>81166</v>
      </c>
      <c r="H354">
        <f>VLOOKUP(Tabla3[[#This Row],[Subcategoria]],$D$374:$E$493,2,0)</f>
        <v>116</v>
      </c>
      <c r="J354">
        <v>116</v>
      </c>
      <c r="K354">
        <v>6</v>
      </c>
      <c r="L354" t="s">
        <v>948</v>
      </c>
    </row>
    <row r="355" spans="1:12" x14ac:dyDescent="0.2">
      <c r="A355">
        <v>5</v>
      </c>
      <c r="B355" t="s">
        <v>841</v>
      </c>
      <c r="C355">
        <v>117</v>
      </c>
      <c r="D355" t="s">
        <v>842</v>
      </c>
      <c r="E355">
        <v>1</v>
      </c>
      <c r="F355" t="s">
        <v>847</v>
      </c>
      <c r="G355" t="str">
        <f>Tabla3[[#This Row],[IDCatPrin]]&amp;Tabla3[[#This Row],[IDSubCat]]&amp;Tabla3[[#This Row],[Iddetalle]]</f>
        <v>51171</v>
      </c>
      <c r="H355">
        <f>VLOOKUP(Tabla3[[#This Row],[Subcategoria]],$D$374:$E$493,2,0)</f>
        <v>117</v>
      </c>
      <c r="J355">
        <v>117</v>
      </c>
      <c r="K355">
        <v>1</v>
      </c>
      <c r="L355" t="s">
        <v>847</v>
      </c>
    </row>
    <row r="356" spans="1:12" x14ac:dyDescent="0.2">
      <c r="A356">
        <v>5</v>
      </c>
      <c r="B356" t="s">
        <v>841</v>
      </c>
      <c r="C356">
        <v>117</v>
      </c>
      <c r="D356" t="s">
        <v>842</v>
      </c>
      <c r="E356">
        <v>2</v>
      </c>
      <c r="F356" t="s">
        <v>848</v>
      </c>
      <c r="G356" t="str">
        <f>Tabla3[[#This Row],[IDCatPrin]]&amp;Tabla3[[#This Row],[IDSubCat]]&amp;Tabla3[[#This Row],[Iddetalle]]</f>
        <v>51172</v>
      </c>
      <c r="H356">
        <f>VLOOKUP(Tabla3[[#This Row],[Subcategoria]],$D$374:$E$493,2,0)</f>
        <v>117</v>
      </c>
      <c r="J356">
        <v>117</v>
      </c>
      <c r="K356">
        <v>2</v>
      </c>
      <c r="L356" t="s">
        <v>848</v>
      </c>
    </row>
    <row r="357" spans="1:12" x14ac:dyDescent="0.2">
      <c r="A357">
        <v>5</v>
      </c>
      <c r="B357" t="s">
        <v>841</v>
      </c>
      <c r="C357">
        <v>117</v>
      </c>
      <c r="D357" t="s">
        <v>842</v>
      </c>
      <c r="E357">
        <v>3</v>
      </c>
      <c r="F357" t="s">
        <v>849</v>
      </c>
      <c r="G357" t="str">
        <f>Tabla3[[#This Row],[IDCatPrin]]&amp;Tabla3[[#This Row],[IDSubCat]]&amp;Tabla3[[#This Row],[Iddetalle]]</f>
        <v>51173</v>
      </c>
      <c r="H357">
        <f>VLOOKUP(Tabla3[[#This Row],[Subcategoria]],$D$374:$E$493,2,0)</f>
        <v>117</v>
      </c>
      <c r="J357">
        <v>117</v>
      </c>
      <c r="K357">
        <v>3</v>
      </c>
      <c r="L357" t="s">
        <v>849</v>
      </c>
    </row>
    <row r="358" spans="1:12" x14ac:dyDescent="0.2">
      <c r="A358">
        <v>5</v>
      </c>
      <c r="B358" t="s">
        <v>841</v>
      </c>
      <c r="C358">
        <v>117</v>
      </c>
      <c r="D358" t="s">
        <v>842</v>
      </c>
      <c r="E358">
        <v>4</v>
      </c>
      <c r="F358" t="s">
        <v>850</v>
      </c>
      <c r="G358" t="str">
        <f>Tabla3[[#This Row],[IDCatPrin]]&amp;Tabla3[[#This Row],[IDSubCat]]&amp;Tabla3[[#This Row],[Iddetalle]]</f>
        <v>51174</v>
      </c>
      <c r="H358">
        <f>VLOOKUP(Tabla3[[#This Row],[Subcategoria]],$D$374:$E$493,2,0)</f>
        <v>117</v>
      </c>
      <c r="J358">
        <v>117</v>
      </c>
      <c r="K358">
        <v>4</v>
      </c>
      <c r="L358" t="s">
        <v>850</v>
      </c>
    </row>
    <row r="359" spans="1:12" x14ac:dyDescent="0.2">
      <c r="A359">
        <v>5</v>
      </c>
      <c r="B359" t="s">
        <v>841</v>
      </c>
      <c r="C359">
        <v>117</v>
      </c>
      <c r="D359" t="s">
        <v>842</v>
      </c>
      <c r="E359">
        <v>5</v>
      </c>
      <c r="F359" t="s">
        <v>851</v>
      </c>
      <c r="G359" t="str">
        <f>Tabla3[[#This Row],[IDCatPrin]]&amp;Tabla3[[#This Row],[IDSubCat]]&amp;Tabla3[[#This Row],[Iddetalle]]</f>
        <v>51175</v>
      </c>
      <c r="H359">
        <f>VLOOKUP(Tabla3[[#This Row],[Subcategoria]],$D$374:$E$493,2,0)</f>
        <v>117</v>
      </c>
      <c r="J359">
        <v>117</v>
      </c>
      <c r="K359">
        <v>5</v>
      </c>
      <c r="L359" t="s">
        <v>851</v>
      </c>
    </row>
    <row r="360" spans="1:12" x14ac:dyDescent="0.2">
      <c r="A360">
        <v>7</v>
      </c>
      <c r="B360" t="s">
        <v>1138</v>
      </c>
      <c r="C360">
        <v>118</v>
      </c>
      <c r="D360" t="s">
        <v>1126</v>
      </c>
      <c r="E360">
        <v>1</v>
      </c>
      <c r="F360" t="s">
        <v>1144</v>
      </c>
      <c r="G360" t="str">
        <f>Tabla3[[#This Row],[IDCatPrin]]&amp;Tabla3[[#This Row],[IDSubCat]]&amp;Tabla3[[#This Row],[Iddetalle]]</f>
        <v>71181</v>
      </c>
      <c r="H360">
        <f>VLOOKUP(Tabla3[[#This Row],[Subcategoria]],$D$374:$E$493,2,0)</f>
        <v>118</v>
      </c>
      <c r="J360">
        <v>118</v>
      </c>
      <c r="K360">
        <v>1</v>
      </c>
      <c r="L360" t="s">
        <v>1144</v>
      </c>
    </row>
    <row r="361" spans="1:12" x14ac:dyDescent="0.2">
      <c r="A361">
        <v>7</v>
      </c>
      <c r="B361" t="s">
        <v>1138</v>
      </c>
      <c r="C361">
        <v>118</v>
      </c>
      <c r="D361" t="s">
        <v>1126</v>
      </c>
      <c r="E361">
        <v>2</v>
      </c>
      <c r="F361" t="s">
        <v>1145</v>
      </c>
      <c r="G361" t="str">
        <f>Tabla3[[#This Row],[IDCatPrin]]&amp;Tabla3[[#This Row],[IDSubCat]]&amp;Tabla3[[#This Row],[Iddetalle]]</f>
        <v>71182</v>
      </c>
      <c r="H361">
        <f>VLOOKUP(Tabla3[[#This Row],[Subcategoria]],$D$374:$E$493,2,0)</f>
        <v>118</v>
      </c>
      <c r="J361">
        <v>118</v>
      </c>
      <c r="K361">
        <v>2</v>
      </c>
      <c r="L361" t="s">
        <v>1145</v>
      </c>
    </row>
    <row r="362" spans="1:12" x14ac:dyDescent="0.2">
      <c r="A362">
        <v>7</v>
      </c>
      <c r="B362" t="s">
        <v>1138</v>
      </c>
      <c r="C362">
        <v>118</v>
      </c>
      <c r="D362" t="s">
        <v>1126</v>
      </c>
      <c r="E362">
        <v>3</v>
      </c>
      <c r="F362" t="s">
        <v>1146</v>
      </c>
      <c r="G362" t="str">
        <f>Tabla3[[#This Row],[IDCatPrin]]&amp;Tabla3[[#This Row],[IDSubCat]]&amp;Tabla3[[#This Row],[Iddetalle]]</f>
        <v>71183</v>
      </c>
      <c r="H362">
        <f>VLOOKUP(Tabla3[[#This Row],[Subcategoria]],$D$374:$E$493,2,0)</f>
        <v>118</v>
      </c>
      <c r="J362">
        <v>118</v>
      </c>
      <c r="K362">
        <v>3</v>
      </c>
      <c r="L362" t="s">
        <v>1146</v>
      </c>
    </row>
    <row r="363" spans="1:12" x14ac:dyDescent="0.2">
      <c r="A363">
        <v>11</v>
      </c>
      <c r="B363" t="s">
        <v>903</v>
      </c>
      <c r="C363">
        <v>119</v>
      </c>
      <c r="D363" t="s">
        <v>899</v>
      </c>
      <c r="E363">
        <v>1</v>
      </c>
      <c r="F363" t="s">
        <v>911</v>
      </c>
      <c r="G363" t="str">
        <f>Tabla3[[#This Row],[IDCatPrin]]&amp;Tabla3[[#This Row],[IDSubCat]]&amp;Tabla3[[#This Row],[Iddetalle]]</f>
        <v>111191</v>
      </c>
      <c r="H363">
        <f>VLOOKUP(Tabla3[[#This Row],[Subcategoria]],$D$374:$E$493,2,0)</f>
        <v>119</v>
      </c>
      <c r="J363">
        <v>119</v>
      </c>
      <c r="K363">
        <v>1</v>
      </c>
      <c r="L363" t="s">
        <v>911</v>
      </c>
    </row>
    <row r="364" spans="1:12" x14ac:dyDescent="0.2">
      <c r="A364">
        <v>11</v>
      </c>
      <c r="B364" t="s">
        <v>903</v>
      </c>
      <c r="C364">
        <v>119</v>
      </c>
      <c r="D364" t="s">
        <v>899</v>
      </c>
      <c r="E364">
        <v>2</v>
      </c>
      <c r="F364" t="s">
        <v>912</v>
      </c>
      <c r="G364" t="str">
        <f>Tabla3[[#This Row],[IDCatPrin]]&amp;Tabla3[[#This Row],[IDSubCat]]&amp;Tabla3[[#This Row],[Iddetalle]]</f>
        <v>111192</v>
      </c>
      <c r="H364">
        <f>VLOOKUP(Tabla3[[#This Row],[Subcategoria]],$D$374:$E$493,2,0)</f>
        <v>119</v>
      </c>
      <c r="J364">
        <v>119</v>
      </c>
      <c r="K364">
        <v>2</v>
      </c>
      <c r="L364" t="s">
        <v>912</v>
      </c>
    </row>
    <row r="365" spans="1:12" x14ac:dyDescent="0.2">
      <c r="A365">
        <v>11</v>
      </c>
      <c r="B365" t="s">
        <v>903</v>
      </c>
      <c r="C365">
        <v>119</v>
      </c>
      <c r="D365" t="s">
        <v>899</v>
      </c>
      <c r="E365">
        <v>3</v>
      </c>
      <c r="F365" t="s">
        <v>913</v>
      </c>
      <c r="G365" t="str">
        <f>Tabla3[[#This Row],[IDCatPrin]]&amp;Tabla3[[#This Row],[IDSubCat]]&amp;Tabla3[[#This Row],[Iddetalle]]</f>
        <v>111193</v>
      </c>
      <c r="H365">
        <f>VLOOKUP(Tabla3[[#This Row],[Subcategoria]],$D$374:$E$493,2,0)</f>
        <v>119</v>
      </c>
      <c r="J365">
        <v>119</v>
      </c>
      <c r="K365">
        <v>3</v>
      </c>
      <c r="L365" t="s">
        <v>913</v>
      </c>
    </row>
    <row r="374" spans="2:5" ht="15" x14ac:dyDescent="0.25">
      <c r="B374" s="6" t="s">
        <v>1208</v>
      </c>
      <c r="C374" s="6" t="s">
        <v>1209</v>
      </c>
      <c r="D374" s="6" t="s">
        <v>1210</v>
      </c>
      <c r="E374" s="6" t="s">
        <v>1207</v>
      </c>
    </row>
    <row r="375" spans="2:5" ht="15" x14ac:dyDescent="0.25">
      <c r="B375" s="7">
        <v>100</v>
      </c>
      <c r="C375" s="7">
        <v>10</v>
      </c>
      <c r="D375" s="8" t="s">
        <v>963</v>
      </c>
      <c r="E375" s="7">
        <v>1</v>
      </c>
    </row>
    <row r="376" spans="2:5" ht="15" x14ac:dyDescent="0.25">
      <c r="B376" s="7">
        <v>100</v>
      </c>
      <c r="C376" s="7">
        <v>20</v>
      </c>
      <c r="D376" s="8" t="s">
        <v>1168</v>
      </c>
      <c r="E376" s="7">
        <v>2</v>
      </c>
    </row>
    <row r="377" spans="2:5" ht="15" x14ac:dyDescent="0.25">
      <c r="B377" s="7">
        <v>100</v>
      </c>
      <c r="C377" s="7">
        <v>30</v>
      </c>
      <c r="D377" s="8" t="s">
        <v>727</v>
      </c>
      <c r="E377" s="7">
        <v>3</v>
      </c>
    </row>
    <row r="378" spans="2:5" ht="15" x14ac:dyDescent="0.25">
      <c r="B378" s="7">
        <v>100</v>
      </c>
      <c r="C378" s="7">
        <v>40</v>
      </c>
      <c r="D378" s="8" t="s">
        <v>1054</v>
      </c>
      <c r="E378" s="7">
        <v>4</v>
      </c>
    </row>
    <row r="379" spans="2:5" ht="15" x14ac:dyDescent="0.25">
      <c r="B379" s="7">
        <v>100</v>
      </c>
      <c r="C379" s="7">
        <v>50</v>
      </c>
      <c r="D379" s="8" t="s">
        <v>825</v>
      </c>
      <c r="E379" s="7">
        <v>5</v>
      </c>
    </row>
    <row r="380" spans="2:5" ht="30" x14ac:dyDescent="0.25">
      <c r="B380" s="7">
        <v>100</v>
      </c>
      <c r="C380" s="7">
        <v>60</v>
      </c>
      <c r="D380" s="8" t="s">
        <v>1169</v>
      </c>
      <c r="E380" s="7">
        <v>6</v>
      </c>
    </row>
    <row r="381" spans="2:5" ht="30" x14ac:dyDescent="0.25">
      <c r="B381" s="7">
        <v>100</v>
      </c>
      <c r="C381" s="7">
        <v>70</v>
      </c>
      <c r="D381" s="8" t="s">
        <v>1167</v>
      </c>
      <c r="E381" s="7">
        <v>7</v>
      </c>
    </row>
    <row r="382" spans="2:5" ht="15" x14ac:dyDescent="0.25">
      <c r="B382" s="7">
        <v>100</v>
      </c>
      <c r="C382" s="7">
        <v>80</v>
      </c>
      <c r="D382" s="8" t="s">
        <v>1165</v>
      </c>
      <c r="E382" s="7">
        <v>8</v>
      </c>
    </row>
    <row r="383" spans="2:5" ht="15" x14ac:dyDescent="0.25">
      <c r="B383" s="7">
        <v>100</v>
      </c>
      <c r="C383" s="7">
        <v>90</v>
      </c>
      <c r="D383" s="8" t="s">
        <v>1164</v>
      </c>
      <c r="E383" s="7">
        <v>9</v>
      </c>
    </row>
    <row r="384" spans="2:5" ht="30" x14ac:dyDescent="0.25">
      <c r="B384" s="7">
        <v>100</v>
      </c>
      <c r="C384" s="7">
        <v>100</v>
      </c>
      <c r="D384" s="8" t="s">
        <v>1172</v>
      </c>
      <c r="E384" s="7">
        <v>10</v>
      </c>
    </row>
    <row r="385" spans="2:5" ht="15" x14ac:dyDescent="0.25">
      <c r="B385" s="7">
        <v>100</v>
      </c>
      <c r="C385" s="7">
        <v>110</v>
      </c>
      <c r="D385" s="8" t="s">
        <v>729</v>
      </c>
      <c r="E385" s="7">
        <v>11</v>
      </c>
    </row>
    <row r="386" spans="2:5" ht="15" x14ac:dyDescent="0.25">
      <c r="B386" s="7">
        <v>100</v>
      </c>
      <c r="C386" s="7">
        <v>120</v>
      </c>
      <c r="D386" s="8" t="s">
        <v>1128</v>
      </c>
      <c r="E386" s="7">
        <v>12</v>
      </c>
    </row>
    <row r="387" spans="2:5" ht="15" x14ac:dyDescent="0.25">
      <c r="B387" s="7">
        <v>100</v>
      </c>
      <c r="C387" s="7">
        <v>130</v>
      </c>
      <c r="D387" s="8" t="s">
        <v>1137</v>
      </c>
      <c r="E387" s="7">
        <v>13</v>
      </c>
    </row>
    <row r="388" spans="2:5" ht="30" x14ac:dyDescent="0.25">
      <c r="B388" s="7">
        <v>100</v>
      </c>
      <c r="C388" s="7">
        <v>140</v>
      </c>
      <c r="D388" s="8" t="s">
        <v>1120</v>
      </c>
      <c r="E388" s="7">
        <v>14</v>
      </c>
    </row>
    <row r="389" spans="2:5" ht="15" x14ac:dyDescent="0.25">
      <c r="B389" s="7">
        <v>100</v>
      </c>
      <c r="C389" s="7">
        <v>150</v>
      </c>
      <c r="D389" s="8" t="s">
        <v>1125</v>
      </c>
      <c r="E389" s="7">
        <v>15</v>
      </c>
    </row>
    <row r="390" spans="2:5" ht="15" x14ac:dyDescent="0.25">
      <c r="B390" s="7">
        <v>100</v>
      </c>
      <c r="C390" s="7">
        <v>160</v>
      </c>
      <c r="D390" s="8" t="s">
        <v>1119</v>
      </c>
      <c r="E390" s="7">
        <v>16</v>
      </c>
    </row>
    <row r="391" spans="2:5" ht="30" x14ac:dyDescent="0.25">
      <c r="B391" s="7">
        <v>100</v>
      </c>
      <c r="C391" s="7">
        <v>170</v>
      </c>
      <c r="D391" s="8" t="s">
        <v>1171</v>
      </c>
      <c r="E391" s="7">
        <v>17</v>
      </c>
    </row>
    <row r="392" spans="2:5" ht="15" x14ac:dyDescent="0.25">
      <c r="B392" s="7">
        <v>100</v>
      </c>
      <c r="C392" s="7">
        <v>180</v>
      </c>
      <c r="D392" s="8" t="s">
        <v>964</v>
      </c>
      <c r="E392" s="7">
        <v>18</v>
      </c>
    </row>
    <row r="393" spans="2:5" ht="15" x14ac:dyDescent="0.25">
      <c r="B393" s="7">
        <v>100</v>
      </c>
      <c r="C393" s="7">
        <v>190</v>
      </c>
      <c r="D393" s="8" t="s">
        <v>725</v>
      </c>
      <c r="E393" s="7">
        <v>19</v>
      </c>
    </row>
    <row r="394" spans="2:5" ht="15" x14ac:dyDescent="0.25">
      <c r="B394" s="7">
        <v>200</v>
      </c>
      <c r="C394" s="7">
        <v>10</v>
      </c>
      <c r="D394" s="8" t="s">
        <v>1012</v>
      </c>
      <c r="E394" s="7">
        <v>20</v>
      </c>
    </row>
    <row r="395" spans="2:5" ht="15" x14ac:dyDescent="0.25">
      <c r="B395" s="7">
        <v>200</v>
      </c>
      <c r="C395" s="7">
        <v>20</v>
      </c>
      <c r="D395" s="8" t="s">
        <v>1116</v>
      </c>
      <c r="E395" s="7">
        <v>21</v>
      </c>
    </row>
    <row r="396" spans="2:5" ht="15" x14ac:dyDescent="0.25">
      <c r="B396" s="7">
        <v>200</v>
      </c>
      <c r="C396" s="7">
        <v>30</v>
      </c>
      <c r="D396" s="8" t="s">
        <v>726</v>
      </c>
      <c r="E396" s="7">
        <v>22</v>
      </c>
    </row>
    <row r="397" spans="2:5" ht="15" x14ac:dyDescent="0.25">
      <c r="B397" s="7">
        <v>200</v>
      </c>
      <c r="C397" s="7">
        <v>40</v>
      </c>
      <c r="D397" s="8" t="s">
        <v>1131</v>
      </c>
      <c r="E397" s="7">
        <v>23</v>
      </c>
    </row>
    <row r="398" spans="2:5" ht="30" x14ac:dyDescent="0.25">
      <c r="B398" s="7">
        <v>200</v>
      </c>
      <c r="C398" s="7">
        <v>50</v>
      </c>
      <c r="D398" s="8" t="s">
        <v>1118</v>
      </c>
      <c r="E398" s="7">
        <v>24</v>
      </c>
    </row>
    <row r="399" spans="2:5" ht="15" x14ac:dyDescent="0.25">
      <c r="B399" s="7">
        <v>200</v>
      </c>
      <c r="C399" s="7">
        <v>60</v>
      </c>
      <c r="D399" s="8" t="s">
        <v>823</v>
      </c>
      <c r="E399" s="7">
        <v>25</v>
      </c>
    </row>
    <row r="400" spans="2:5" ht="15" x14ac:dyDescent="0.25">
      <c r="B400" s="7">
        <v>300</v>
      </c>
      <c r="C400" s="7">
        <v>10</v>
      </c>
      <c r="D400" s="8" t="s">
        <v>721</v>
      </c>
      <c r="E400" s="7">
        <v>26</v>
      </c>
    </row>
    <row r="401" spans="2:5" ht="30" x14ac:dyDescent="0.25">
      <c r="B401" s="7">
        <v>300</v>
      </c>
      <c r="C401" s="7">
        <v>20</v>
      </c>
      <c r="D401" s="8" t="s">
        <v>1114</v>
      </c>
      <c r="E401" s="7">
        <v>27</v>
      </c>
    </row>
    <row r="402" spans="2:5" ht="15" x14ac:dyDescent="0.25">
      <c r="B402" s="7">
        <v>300</v>
      </c>
      <c r="C402" s="7">
        <v>30</v>
      </c>
      <c r="D402" s="8" t="s">
        <v>925</v>
      </c>
      <c r="E402" s="7">
        <v>28</v>
      </c>
    </row>
    <row r="403" spans="2:5" ht="15" x14ac:dyDescent="0.25">
      <c r="B403" s="7">
        <v>300</v>
      </c>
      <c r="C403" s="7">
        <v>40</v>
      </c>
      <c r="D403" s="8" t="s">
        <v>952</v>
      </c>
      <c r="E403" s="7">
        <v>29</v>
      </c>
    </row>
    <row r="404" spans="2:5" ht="15" x14ac:dyDescent="0.25">
      <c r="B404" s="7">
        <v>300</v>
      </c>
      <c r="C404" s="7">
        <v>50</v>
      </c>
      <c r="D404" s="8" t="s">
        <v>718</v>
      </c>
      <c r="E404" s="7">
        <v>30</v>
      </c>
    </row>
    <row r="405" spans="2:5" ht="15" x14ac:dyDescent="0.25">
      <c r="B405" s="7">
        <v>400</v>
      </c>
      <c r="C405" s="7">
        <v>10</v>
      </c>
      <c r="D405" s="8" t="s">
        <v>844</v>
      </c>
      <c r="E405" s="7">
        <v>31</v>
      </c>
    </row>
    <row r="406" spans="2:5" ht="15" x14ac:dyDescent="0.25">
      <c r="B406" s="7">
        <v>400</v>
      </c>
      <c r="C406" s="7">
        <v>20</v>
      </c>
      <c r="D406" s="8" t="s">
        <v>1122</v>
      </c>
      <c r="E406" s="7">
        <v>32</v>
      </c>
    </row>
    <row r="407" spans="2:5" ht="15" x14ac:dyDescent="0.25">
      <c r="B407" s="7">
        <v>400</v>
      </c>
      <c r="C407" s="7">
        <v>30</v>
      </c>
      <c r="D407" s="8" t="s">
        <v>971</v>
      </c>
      <c r="E407" s="7">
        <v>33</v>
      </c>
    </row>
    <row r="408" spans="2:5" ht="15" x14ac:dyDescent="0.25">
      <c r="B408" s="7">
        <v>500</v>
      </c>
      <c r="C408" s="7">
        <v>10</v>
      </c>
      <c r="D408" s="8" t="s">
        <v>862</v>
      </c>
      <c r="E408" s="7">
        <v>34</v>
      </c>
    </row>
    <row r="409" spans="2:5" ht="30" x14ac:dyDescent="0.25">
      <c r="B409" s="7">
        <v>500</v>
      </c>
      <c r="C409" s="7">
        <v>20</v>
      </c>
      <c r="D409" s="8" t="s">
        <v>1009</v>
      </c>
      <c r="E409" s="7">
        <v>35</v>
      </c>
    </row>
    <row r="410" spans="2:5" ht="15" x14ac:dyDescent="0.25">
      <c r="B410" s="7">
        <v>500</v>
      </c>
      <c r="C410" s="7">
        <v>30</v>
      </c>
      <c r="D410" s="8" t="s">
        <v>880</v>
      </c>
      <c r="E410" s="7">
        <v>36</v>
      </c>
    </row>
    <row r="411" spans="2:5" ht="15" x14ac:dyDescent="0.25">
      <c r="B411" s="7">
        <v>500</v>
      </c>
      <c r="C411" s="7">
        <v>40</v>
      </c>
      <c r="D411" s="8" t="s">
        <v>845</v>
      </c>
      <c r="E411" s="7">
        <v>37</v>
      </c>
    </row>
    <row r="412" spans="2:5" ht="15" x14ac:dyDescent="0.25">
      <c r="B412" s="7">
        <v>500</v>
      </c>
      <c r="C412" s="7">
        <v>50</v>
      </c>
      <c r="D412" s="8" t="s">
        <v>1050</v>
      </c>
      <c r="E412" s="7">
        <v>38</v>
      </c>
    </row>
    <row r="413" spans="2:5" ht="15" x14ac:dyDescent="0.25">
      <c r="B413" s="7">
        <v>600</v>
      </c>
      <c r="C413" s="7">
        <v>10</v>
      </c>
      <c r="D413" s="8" t="s">
        <v>901</v>
      </c>
      <c r="E413" s="7">
        <v>39</v>
      </c>
    </row>
    <row r="414" spans="2:5" ht="15" x14ac:dyDescent="0.25">
      <c r="B414" s="7">
        <v>600</v>
      </c>
      <c r="C414" s="7">
        <v>20</v>
      </c>
      <c r="D414" s="8" t="s">
        <v>1052</v>
      </c>
      <c r="E414" s="7">
        <v>40</v>
      </c>
    </row>
    <row r="415" spans="2:5" ht="15" x14ac:dyDescent="0.25">
      <c r="B415" s="7">
        <v>600</v>
      </c>
      <c r="C415" s="7">
        <v>30</v>
      </c>
      <c r="D415" s="8" t="s">
        <v>1136</v>
      </c>
      <c r="E415" s="7">
        <v>41</v>
      </c>
    </row>
    <row r="416" spans="2:5" ht="15" x14ac:dyDescent="0.25">
      <c r="B416" s="7">
        <v>600</v>
      </c>
      <c r="C416" s="7">
        <v>40</v>
      </c>
      <c r="D416" s="8" t="s">
        <v>1048</v>
      </c>
      <c r="E416" s="7">
        <v>42</v>
      </c>
    </row>
    <row r="417" spans="2:5" ht="15" x14ac:dyDescent="0.25">
      <c r="B417" s="7">
        <v>600</v>
      </c>
      <c r="C417" s="7">
        <v>50</v>
      </c>
      <c r="D417" s="8" t="s">
        <v>1051</v>
      </c>
      <c r="E417" s="7">
        <v>43</v>
      </c>
    </row>
    <row r="418" spans="2:5" ht="15" x14ac:dyDescent="0.25">
      <c r="B418" s="7">
        <v>600</v>
      </c>
      <c r="C418" s="7">
        <v>60</v>
      </c>
      <c r="D418" s="8" t="s">
        <v>1053</v>
      </c>
      <c r="E418" s="7">
        <v>44</v>
      </c>
    </row>
    <row r="419" spans="2:5" ht="15" x14ac:dyDescent="0.25">
      <c r="B419" s="7">
        <v>700</v>
      </c>
      <c r="C419" s="7">
        <v>10</v>
      </c>
      <c r="D419" s="8" t="s">
        <v>1057</v>
      </c>
      <c r="E419" s="7">
        <v>45</v>
      </c>
    </row>
    <row r="420" spans="2:5" ht="15" x14ac:dyDescent="0.25">
      <c r="B420" s="7">
        <v>800</v>
      </c>
      <c r="C420" s="7">
        <v>10</v>
      </c>
      <c r="D420" s="8" t="s">
        <v>1123</v>
      </c>
      <c r="E420" s="7">
        <v>46</v>
      </c>
    </row>
    <row r="421" spans="2:5" ht="30" x14ac:dyDescent="0.25">
      <c r="B421" s="7">
        <v>800</v>
      </c>
      <c r="C421" s="7">
        <v>20</v>
      </c>
      <c r="D421" s="8" t="s">
        <v>1013</v>
      </c>
      <c r="E421" s="7">
        <v>47</v>
      </c>
    </row>
    <row r="422" spans="2:5" ht="15" x14ac:dyDescent="0.25">
      <c r="B422" s="7">
        <v>900</v>
      </c>
      <c r="C422" s="7">
        <v>10</v>
      </c>
      <c r="D422" s="8" t="s">
        <v>1109</v>
      </c>
      <c r="E422" s="7">
        <v>48</v>
      </c>
    </row>
    <row r="423" spans="2:5" ht="15" x14ac:dyDescent="0.25">
      <c r="B423" s="7">
        <v>900</v>
      </c>
      <c r="C423" s="7">
        <v>20</v>
      </c>
      <c r="D423" s="8" t="s">
        <v>961</v>
      </c>
      <c r="E423" s="7">
        <v>49</v>
      </c>
    </row>
    <row r="424" spans="2:5" ht="15" x14ac:dyDescent="0.25">
      <c r="B424" s="7">
        <v>900</v>
      </c>
      <c r="C424" s="7">
        <v>30</v>
      </c>
      <c r="D424" s="8" t="s">
        <v>962</v>
      </c>
      <c r="E424" s="7">
        <v>50</v>
      </c>
    </row>
    <row r="425" spans="2:5" ht="15" x14ac:dyDescent="0.25">
      <c r="B425" s="7">
        <v>900</v>
      </c>
      <c r="C425" s="7">
        <v>40</v>
      </c>
      <c r="D425" s="8" t="s">
        <v>1135</v>
      </c>
      <c r="E425" s="7">
        <v>51</v>
      </c>
    </row>
    <row r="426" spans="2:5" ht="15" x14ac:dyDescent="0.25">
      <c r="B426" s="7">
        <v>1000</v>
      </c>
      <c r="C426" s="7">
        <v>10</v>
      </c>
      <c r="D426" s="8" t="s">
        <v>1121</v>
      </c>
      <c r="E426" s="7">
        <v>52</v>
      </c>
    </row>
    <row r="427" spans="2:5" ht="15" x14ac:dyDescent="0.25">
      <c r="B427" s="7">
        <v>1000</v>
      </c>
      <c r="C427" s="7">
        <v>20</v>
      </c>
      <c r="D427" s="8" t="s">
        <v>846</v>
      </c>
      <c r="E427" s="7">
        <v>53</v>
      </c>
    </row>
    <row r="428" spans="2:5" ht="15" x14ac:dyDescent="0.25">
      <c r="B428" s="7">
        <v>1000</v>
      </c>
      <c r="C428" s="7">
        <v>30</v>
      </c>
      <c r="D428" s="8" t="s">
        <v>1112</v>
      </c>
      <c r="E428" s="7">
        <v>54</v>
      </c>
    </row>
    <row r="429" spans="2:5" ht="15" x14ac:dyDescent="0.25">
      <c r="B429" s="7">
        <v>1000</v>
      </c>
      <c r="C429" s="7">
        <v>40</v>
      </c>
      <c r="D429" s="8" t="s">
        <v>715</v>
      </c>
      <c r="E429" s="7">
        <v>55</v>
      </c>
    </row>
    <row r="430" spans="2:5" ht="30" x14ac:dyDescent="0.25">
      <c r="B430" s="7">
        <v>1000</v>
      </c>
      <c r="C430" s="7">
        <v>50</v>
      </c>
      <c r="D430" s="8" t="s">
        <v>1133</v>
      </c>
      <c r="E430" s="7">
        <v>56</v>
      </c>
    </row>
    <row r="431" spans="2:5" ht="15" x14ac:dyDescent="0.25">
      <c r="B431" s="7">
        <v>1000</v>
      </c>
      <c r="C431" s="7">
        <v>60</v>
      </c>
      <c r="D431" s="8" t="s">
        <v>824</v>
      </c>
      <c r="E431" s="7">
        <v>57</v>
      </c>
    </row>
    <row r="432" spans="2:5" ht="15" x14ac:dyDescent="0.25">
      <c r="B432" s="7">
        <v>1000</v>
      </c>
      <c r="C432" s="7">
        <v>70</v>
      </c>
      <c r="D432" s="8" t="s">
        <v>716</v>
      </c>
      <c r="E432" s="7">
        <v>58</v>
      </c>
    </row>
    <row r="433" spans="2:5" ht="15" x14ac:dyDescent="0.25">
      <c r="B433" s="7">
        <v>1000</v>
      </c>
      <c r="C433" s="7">
        <v>80</v>
      </c>
      <c r="D433" s="8" t="s">
        <v>722</v>
      </c>
      <c r="E433" s="7">
        <v>59</v>
      </c>
    </row>
    <row r="434" spans="2:5" ht="15" x14ac:dyDescent="0.25">
      <c r="B434" s="7">
        <v>1000</v>
      </c>
      <c r="C434" s="7">
        <v>90</v>
      </c>
      <c r="D434" s="8" t="s">
        <v>728</v>
      </c>
      <c r="E434" s="7">
        <v>60</v>
      </c>
    </row>
    <row r="435" spans="2:5" ht="15" x14ac:dyDescent="0.25">
      <c r="B435" s="7">
        <v>1000</v>
      </c>
      <c r="C435" s="7">
        <v>100</v>
      </c>
      <c r="D435" s="8" t="s">
        <v>1132</v>
      </c>
      <c r="E435" s="7">
        <v>61</v>
      </c>
    </row>
    <row r="436" spans="2:5" ht="15" x14ac:dyDescent="0.25">
      <c r="B436" s="7">
        <v>1000</v>
      </c>
      <c r="C436" s="7">
        <v>110</v>
      </c>
      <c r="D436" s="8" t="s">
        <v>935</v>
      </c>
      <c r="E436" s="7">
        <v>62</v>
      </c>
    </row>
    <row r="437" spans="2:5" ht="30" x14ac:dyDescent="0.25">
      <c r="B437" s="7">
        <v>1000</v>
      </c>
      <c r="C437" s="7">
        <v>120</v>
      </c>
      <c r="D437" s="8" t="s">
        <v>863</v>
      </c>
      <c r="E437" s="7">
        <v>63</v>
      </c>
    </row>
    <row r="438" spans="2:5" ht="15" x14ac:dyDescent="0.25">
      <c r="B438" s="7">
        <v>1100</v>
      </c>
      <c r="C438" s="7">
        <v>10</v>
      </c>
      <c r="D438" s="8" t="s">
        <v>720</v>
      </c>
      <c r="E438" s="7">
        <v>64</v>
      </c>
    </row>
    <row r="439" spans="2:5" ht="15" x14ac:dyDescent="0.25">
      <c r="B439" s="7">
        <v>1100</v>
      </c>
      <c r="C439" s="7">
        <v>20</v>
      </c>
      <c r="D439" s="8" t="s">
        <v>822</v>
      </c>
      <c r="E439" s="7">
        <v>65</v>
      </c>
    </row>
    <row r="440" spans="2:5" ht="15" x14ac:dyDescent="0.25">
      <c r="B440" s="7">
        <v>1100</v>
      </c>
      <c r="C440" s="7">
        <v>30</v>
      </c>
      <c r="D440" s="8" t="s">
        <v>723</v>
      </c>
      <c r="E440" s="7">
        <v>66</v>
      </c>
    </row>
    <row r="441" spans="2:5" ht="15" x14ac:dyDescent="0.25">
      <c r="B441" s="7">
        <v>1100</v>
      </c>
      <c r="C441" s="7">
        <v>40</v>
      </c>
      <c r="D441" s="8" t="s">
        <v>1011</v>
      </c>
      <c r="E441" s="7">
        <v>67</v>
      </c>
    </row>
    <row r="442" spans="2:5" ht="15" x14ac:dyDescent="0.25">
      <c r="B442" s="7">
        <v>1100</v>
      </c>
      <c r="C442" s="7">
        <v>50</v>
      </c>
      <c r="D442" s="8" t="s">
        <v>1049</v>
      </c>
      <c r="E442" s="7">
        <v>68</v>
      </c>
    </row>
    <row r="443" spans="2:5" ht="30" x14ac:dyDescent="0.25">
      <c r="B443" s="7">
        <v>1100</v>
      </c>
      <c r="C443" s="7">
        <v>60</v>
      </c>
      <c r="D443" s="8" t="s">
        <v>1055</v>
      </c>
      <c r="E443" s="7">
        <v>69</v>
      </c>
    </row>
    <row r="444" spans="2:5" ht="15" x14ac:dyDescent="0.25">
      <c r="B444" s="7">
        <v>1200</v>
      </c>
      <c r="C444" s="7">
        <v>10</v>
      </c>
      <c r="D444" s="8" t="s">
        <v>902</v>
      </c>
      <c r="E444" s="7">
        <v>70</v>
      </c>
    </row>
    <row r="445" spans="2:5" ht="15" x14ac:dyDescent="0.25">
      <c r="B445" s="7">
        <v>1200</v>
      </c>
      <c r="C445" s="7">
        <v>20</v>
      </c>
      <c r="D445" s="8" t="s">
        <v>969</v>
      </c>
      <c r="E445" s="7">
        <v>71</v>
      </c>
    </row>
    <row r="446" spans="2:5" ht="15" x14ac:dyDescent="0.25">
      <c r="B446" s="7">
        <v>1200</v>
      </c>
      <c r="C446" s="7">
        <v>30</v>
      </c>
      <c r="D446" s="8" t="s">
        <v>820</v>
      </c>
      <c r="E446" s="7">
        <v>72</v>
      </c>
    </row>
    <row r="447" spans="2:5" ht="30" x14ac:dyDescent="0.25">
      <c r="B447" s="7">
        <v>1200</v>
      </c>
      <c r="C447" s="7">
        <v>40</v>
      </c>
      <c r="D447" s="8" t="s">
        <v>1014</v>
      </c>
      <c r="E447" s="7">
        <v>73</v>
      </c>
    </row>
    <row r="448" spans="2:5" ht="15" x14ac:dyDescent="0.25">
      <c r="B448" s="7">
        <v>1200</v>
      </c>
      <c r="C448" s="7">
        <v>40</v>
      </c>
      <c r="D448" s="8" t="s">
        <v>1058</v>
      </c>
      <c r="E448" s="7">
        <v>74</v>
      </c>
    </row>
    <row r="449" spans="2:5" ht="15" x14ac:dyDescent="0.25">
      <c r="B449" s="7">
        <v>1200</v>
      </c>
      <c r="C449" s="7">
        <v>50</v>
      </c>
      <c r="D449" s="8" t="s">
        <v>966</v>
      </c>
      <c r="E449" s="7">
        <v>75</v>
      </c>
    </row>
    <row r="450" spans="2:5" ht="15" x14ac:dyDescent="0.25">
      <c r="B450" s="7">
        <v>1200</v>
      </c>
      <c r="C450" s="7">
        <v>60</v>
      </c>
      <c r="D450" s="8" t="s">
        <v>732</v>
      </c>
      <c r="E450" s="7">
        <v>76</v>
      </c>
    </row>
    <row r="451" spans="2:5" ht="15" x14ac:dyDescent="0.25">
      <c r="B451" s="7">
        <v>1200</v>
      </c>
      <c r="C451" s="7">
        <v>70</v>
      </c>
      <c r="D451" s="8" t="s">
        <v>732</v>
      </c>
      <c r="E451" s="7">
        <v>77</v>
      </c>
    </row>
    <row r="452" spans="2:5" ht="15" x14ac:dyDescent="0.25">
      <c r="B452" s="7">
        <v>1200</v>
      </c>
      <c r="C452" s="7">
        <v>80</v>
      </c>
      <c r="D452" s="8" t="s">
        <v>843</v>
      </c>
      <c r="E452" s="7">
        <v>78</v>
      </c>
    </row>
    <row r="453" spans="2:5" ht="15" x14ac:dyDescent="0.25">
      <c r="B453" s="7">
        <v>1200</v>
      </c>
      <c r="C453" s="7">
        <v>90</v>
      </c>
      <c r="D453" s="8" t="s">
        <v>960</v>
      </c>
      <c r="E453" s="7">
        <v>79</v>
      </c>
    </row>
    <row r="454" spans="2:5" ht="15" x14ac:dyDescent="0.25">
      <c r="B454" s="7">
        <v>1200</v>
      </c>
      <c r="C454" s="7">
        <v>100</v>
      </c>
      <c r="D454" s="8" t="s">
        <v>1170</v>
      </c>
      <c r="E454" s="7">
        <v>80</v>
      </c>
    </row>
    <row r="455" spans="2:5" ht="15" x14ac:dyDescent="0.25">
      <c r="B455" s="7">
        <v>1300</v>
      </c>
      <c r="C455" s="7">
        <v>10</v>
      </c>
      <c r="D455" s="8" t="s">
        <v>900</v>
      </c>
      <c r="E455" s="7">
        <v>81</v>
      </c>
    </row>
    <row r="456" spans="2:5" ht="15" x14ac:dyDescent="0.25">
      <c r="B456" s="7">
        <v>1300</v>
      </c>
      <c r="C456" s="7">
        <v>20</v>
      </c>
      <c r="D456" s="8" t="s">
        <v>950</v>
      </c>
      <c r="E456" s="7">
        <v>82</v>
      </c>
    </row>
    <row r="457" spans="2:5" ht="15" x14ac:dyDescent="0.25">
      <c r="B457" s="7">
        <v>1300</v>
      </c>
      <c r="C457" s="7">
        <v>30</v>
      </c>
      <c r="D457" s="8" t="s">
        <v>970</v>
      </c>
      <c r="E457" s="7">
        <v>83</v>
      </c>
    </row>
    <row r="458" spans="2:5" ht="15" x14ac:dyDescent="0.25">
      <c r="B458" s="7">
        <v>1300</v>
      </c>
      <c r="C458" s="7">
        <v>40</v>
      </c>
      <c r="D458" s="8" t="s">
        <v>1130</v>
      </c>
      <c r="E458" s="7">
        <v>84</v>
      </c>
    </row>
    <row r="459" spans="2:5" ht="15" x14ac:dyDescent="0.25">
      <c r="B459" s="7">
        <v>1300</v>
      </c>
      <c r="C459" s="7">
        <v>50</v>
      </c>
      <c r="D459" s="8" t="s">
        <v>1130</v>
      </c>
      <c r="E459" s="7">
        <v>85</v>
      </c>
    </row>
    <row r="460" spans="2:5" ht="30" x14ac:dyDescent="0.25">
      <c r="B460" s="7">
        <v>1300</v>
      </c>
      <c r="C460" s="7">
        <v>60</v>
      </c>
      <c r="D460" s="8" t="s">
        <v>1124</v>
      </c>
      <c r="E460" s="7">
        <v>86</v>
      </c>
    </row>
    <row r="461" spans="2:5" ht="15" x14ac:dyDescent="0.25">
      <c r="B461" s="7">
        <v>1300</v>
      </c>
      <c r="C461" s="7">
        <v>70</v>
      </c>
      <c r="D461" s="8" t="s">
        <v>724</v>
      </c>
      <c r="E461" s="7">
        <v>87</v>
      </c>
    </row>
    <row r="462" spans="2:5" ht="45" x14ac:dyDescent="0.25">
      <c r="B462" s="7">
        <v>1300</v>
      </c>
      <c r="C462" s="7">
        <v>80</v>
      </c>
      <c r="D462" s="8" t="s">
        <v>1113</v>
      </c>
      <c r="E462" s="7">
        <v>88</v>
      </c>
    </row>
    <row r="463" spans="2:5" ht="15" x14ac:dyDescent="0.25">
      <c r="B463" s="7">
        <v>1300</v>
      </c>
      <c r="C463" s="7">
        <v>90</v>
      </c>
      <c r="D463" s="8" t="s">
        <v>1134</v>
      </c>
      <c r="E463" s="7">
        <v>89</v>
      </c>
    </row>
    <row r="464" spans="2:5" ht="15" x14ac:dyDescent="0.25">
      <c r="B464" s="7">
        <v>1300</v>
      </c>
      <c r="C464" s="7">
        <v>100</v>
      </c>
      <c r="D464" s="8" t="s">
        <v>1110</v>
      </c>
      <c r="E464" s="7">
        <v>90</v>
      </c>
    </row>
    <row r="465" spans="2:5" ht="15" x14ac:dyDescent="0.25">
      <c r="B465" s="7">
        <v>1300</v>
      </c>
      <c r="C465" s="7">
        <v>110</v>
      </c>
      <c r="D465" s="8" t="s">
        <v>876</v>
      </c>
      <c r="E465" s="7">
        <v>91</v>
      </c>
    </row>
    <row r="466" spans="2:5" ht="15" x14ac:dyDescent="0.25">
      <c r="B466" s="7">
        <v>1300</v>
      </c>
      <c r="C466" s="7">
        <v>120</v>
      </c>
      <c r="D466" s="8" t="s">
        <v>878</v>
      </c>
      <c r="E466" s="7">
        <v>92</v>
      </c>
    </row>
    <row r="467" spans="2:5" ht="15" x14ac:dyDescent="0.25">
      <c r="B467" s="7">
        <v>1300</v>
      </c>
      <c r="C467" s="7">
        <v>130</v>
      </c>
      <c r="D467" s="8" t="s">
        <v>731</v>
      </c>
      <c r="E467" s="7">
        <v>93</v>
      </c>
    </row>
    <row r="468" spans="2:5" ht="30" x14ac:dyDescent="0.25">
      <c r="B468" s="7">
        <v>1300</v>
      </c>
      <c r="C468" s="7">
        <v>140</v>
      </c>
      <c r="D468" s="8" t="s">
        <v>1010</v>
      </c>
      <c r="E468" s="7">
        <v>94</v>
      </c>
    </row>
    <row r="469" spans="2:5" ht="15" x14ac:dyDescent="0.25">
      <c r="B469" s="7">
        <v>1300</v>
      </c>
      <c r="C469" s="7">
        <v>150</v>
      </c>
      <c r="D469" s="8" t="s">
        <v>1056</v>
      </c>
      <c r="E469" s="7">
        <v>95</v>
      </c>
    </row>
    <row r="470" spans="2:5" ht="15" x14ac:dyDescent="0.25">
      <c r="B470" s="7">
        <v>1300</v>
      </c>
      <c r="C470" s="7">
        <v>160</v>
      </c>
      <c r="D470" s="8" t="s">
        <v>967</v>
      </c>
      <c r="E470" s="7">
        <v>96</v>
      </c>
    </row>
    <row r="471" spans="2:5" ht="15" x14ac:dyDescent="0.25">
      <c r="B471" s="7">
        <v>1300</v>
      </c>
      <c r="C471" s="7">
        <v>170</v>
      </c>
      <c r="D471" s="8" t="s">
        <v>717</v>
      </c>
      <c r="E471" s="7">
        <v>97</v>
      </c>
    </row>
    <row r="472" spans="2:5" ht="15" x14ac:dyDescent="0.25">
      <c r="B472" s="7">
        <v>1300</v>
      </c>
      <c r="C472" s="7">
        <v>180</v>
      </c>
      <c r="D472" s="8" t="s">
        <v>951</v>
      </c>
      <c r="E472" s="7">
        <v>98</v>
      </c>
    </row>
    <row r="473" spans="2:5" ht="30" x14ac:dyDescent="0.25">
      <c r="B473" s="7">
        <v>1300</v>
      </c>
      <c r="C473" s="7">
        <v>190</v>
      </c>
      <c r="D473" s="8" t="s">
        <v>821</v>
      </c>
      <c r="E473" s="7">
        <v>99</v>
      </c>
    </row>
    <row r="474" spans="2:5" ht="15" x14ac:dyDescent="0.25">
      <c r="B474" s="7">
        <v>1300</v>
      </c>
      <c r="C474" s="7">
        <v>200</v>
      </c>
      <c r="D474" s="8" t="s">
        <v>861</v>
      </c>
      <c r="E474" s="7">
        <v>100</v>
      </c>
    </row>
    <row r="475" spans="2:5" ht="15" x14ac:dyDescent="0.25">
      <c r="B475" s="7">
        <v>1300</v>
      </c>
      <c r="C475" s="7">
        <v>210</v>
      </c>
      <c r="D475" s="8" t="s">
        <v>1166</v>
      </c>
      <c r="E475" s="7">
        <v>101</v>
      </c>
    </row>
    <row r="476" spans="2:5" ht="30" x14ac:dyDescent="0.25">
      <c r="B476" s="7">
        <v>1300</v>
      </c>
      <c r="C476" s="7">
        <v>220</v>
      </c>
      <c r="D476" s="8" t="s">
        <v>730</v>
      </c>
      <c r="E476" s="7">
        <v>102</v>
      </c>
    </row>
    <row r="477" spans="2:5" ht="15" x14ac:dyDescent="0.25">
      <c r="B477" s="7">
        <v>1300</v>
      </c>
      <c r="C477" s="7">
        <v>230</v>
      </c>
      <c r="D477" s="8" t="s">
        <v>898</v>
      </c>
      <c r="E477" s="7">
        <v>103</v>
      </c>
    </row>
    <row r="478" spans="2:5" ht="15" x14ac:dyDescent="0.25">
      <c r="B478" s="7">
        <v>1300</v>
      </c>
      <c r="C478" s="7">
        <v>240</v>
      </c>
      <c r="D478" s="8" t="s">
        <v>968</v>
      </c>
      <c r="E478" s="7">
        <v>104</v>
      </c>
    </row>
    <row r="479" spans="2:5" ht="15" x14ac:dyDescent="0.25">
      <c r="B479" s="7">
        <v>1300</v>
      </c>
      <c r="C479" s="7">
        <v>250</v>
      </c>
      <c r="D479" s="8" t="s">
        <v>877</v>
      </c>
      <c r="E479" s="7">
        <v>105</v>
      </c>
    </row>
    <row r="480" spans="2:5" ht="15" x14ac:dyDescent="0.25">
      <c r="B480" s="7">
        <v>1300</v>
      </c>
      <c r="C480" s="7">
        <v>260</v>
      </c>
      <c r="D480" s="8" t="s">
        <v>949</v>
      </c>
      <c r="E480" s="7">
        <v>106</v>
      </c>
    </row>
    <row r="481" spans="2:5" ht="15" x14ac:dyDescent="0.25">
      <c r="B481" s="7">
        <v>1300</v>
      </c>
      <c r="C481" s="7">
        <v>270</v>
      </c>
      <c r="D481" s="8" t="s">
        <v>1129</v>
      </c>
      <c r="E481" s="7">
        <v>107</v>
      </c>
    </row>
    <row r="482" spans="2:5" ht="15" x14ac:dyDescent="0.25">
      <c r="B482" s="7">
        <v>1300</v>
      </c>
      <c r="C482" s="7">
        <v>280</v>
      </c>
      <c r="D482" s="8" t="s">
        <v>719</v>
      </c>
      <c r="E482" s="7">
        <v>108</v>
      </c>
    </row>
    <row r="483" spans="2:5" ht="30" x14ac:dyDescent="0.25">
      <c r="B483" s="7">
        <v>1300</v>
      </c>
      <c r="C483" s="7">
        <v>290</v>
      </c>
      <c r="D483" s="8" t="s">
        <v>1117</v>
      </c>
      <c r="E483" s="7">
        <v>109</v>
      </c>
    </row>
    <row r="484" spans="2:5" ht="30" x14ac:dyDescent="0.25">
      <c r="B484" s="7">
        <v>1300</v>
      </c>
      <c r="C484" s="7">
        <v>300</v>
      </c>
      <c r="D484" s="8" t="s">
        <v>1111</v>
      </c>
      <c r="E484" s="7">
        <v>110</v>
      </c>
    </row>
    <row r="485" spans="2:5" ht="15" x14ac:dyDescent="0.25">
      <c r="B485" s="7">
        <v>1400</v>
      </c>
      <c r="C485" s="7">
        <v>10</v>
      </c>
      <c r="D485" s="8" t="s">
        <v>1115</v>
      </c>
      <c r="E485" s="7">
        <v>111</v>
      </c>
    </row>
    <row r="486" spans="2:5" ht="15" x14ac:dyDescent="0.25">
      <c r="B486" s="7">
        <v>1400</v>
      </c>
      <c r="C486" s="7">
        <v>20</v>
      </c>
      <c r="D486" s="8" t="s">
        <v>1127</v>
      </c>
      <c r="E486" s="7">
        <v>112</v>
      </c>
    </row>
    <row r="487" spans="2:5" ht="15" x14ac:dyDescent="0.25">
      <c r="B487" s="7">
        <v>1400</v>
      </c>
      <c r="C487" s="7">
        <v>30</v>
      </c>
      <c r="D487" s="8" t="s">
        <v>714</v>
      </c>
      <c r="E487" s="7">
        <v>113</v>
      </c>
    </row>
    <row r="488" spans="2:5" ht="15" x14ac:dyDescent="0.25">
      <c r="B488" s="7">
        <v>1400</v>
      </c>
      <c r="C488" s="7">
        <v>40</v>
      </c>
      <c r="D488" s="8" t="s">
        <v>965</v>
      </c>
      <c r="E488" s="7">
        <v>114</v>
      </c>
    </row>
    <row r="489" spans="2:5" ht="15" x14ac:dyDescent="0.25">
      <c r="B489" s="7">
        <v>1400</v>
      </c>
      <c r="C489" s="7">
        <v>50</v>
      </c>
      <c r="D489" s="8" t="s">
        <v>879</v>
      </c>
      <c r="E489" s="7">
        <v>115</v>
      </c>
    </row>
    <row r="490" spans="2:5" ht="15" x14ac:dyDescent="0.25">
      <c r="B490" s="7">
        <v>1400</v>
      </c>
      <c r="C490" s="7">
        <v>60</v>
      </c>
      <c r="D490" s="8" t="s">
        <v>942</v>
      </c>
      <c r="E490" s="7">
        <v>116</v>
      </c>
    </row>
    <row r="491" spans="2:5" ht="15" x14ac:dyDescent="0.25">
      <c r="B491" s="7">
        <v>1400</v>
      </c>
      <c r="C491" s="7">
        <v>70</v>
      </c>
      <c r="D491" s="8" t="s">
        <v>842</v>
      </c>
      <c r="E491" s="7">
        <v>117</v>
      </c>
    </row>
    <row r="492" spans="2:5" ht="15" x14ac:dyDescent="0.25">
      <c r="B492" s="7">
        <v>1400</v>
      </c>
      <c r="C492" s="7">
        <v>80</v>
      </c>
      <c r="D492" s="8" t="s">
        <v>1126</v>
      </c>
      <c r="E492" s="7">
        <v>118</v>
      </c>
    </row>
    <row r="493" spans="2:5" ht="15" x14ac:dyDescent="0.25">
      <c r="B493" s="7">
        <v>1400</v>
      </c>
      <c r="C493" s="7">
        <v>90</v>
      </c>
      <c r="D493" s="8" t="s">
        <v>899</v>
      </c>
      <c r="E493" s="7">
        <v>119</v>
      </c>
    </row>
  </sheetData>
  <pageMargins left="0.7" right="0.7" top="0.75" bottom="0.75" header="0.3" footer="0.3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A0A24-3C69-407B-98E7-2D9161063FC3}">
  <sheetPr codeName="Hoja6"/>
  <dimension ref="A1:G128"/>
  <sheetViews>
    <sheetView workbookViewId="0">
      <selection activeCell="B123" sqref="B123"/>
    </sheetView>
  </sheetViews>
  <sheetFormatPr defaultColWidth="11" defaultRowHeight="14.25" x14ac:dyDescent="0.2"/>
  <cols>
    <col min="1" max="1" width="42.375" bestFit="1" customWidth="1"/>
    <col min="4" max="4" width="45.125" bestFit="1" customWidth="1"/>
    <col min="7" max="7" width="12.625" bestFit="1" customWidth="1"/>
  </cols>
  <sheetData>
    <row r="1" spans="1:7" x14ac:dyDescent="0.2">
      <c r="A1" t="s">
        <v>25</v>
      </c>
      <c r="C1" t="s">
        <v>116</v>
      </c>
      <c r="D1" t="s">
        <v>117</v>
      </c>
      <c r="F1" t="s">
        <v>116</v>
      </c>
    </row>
    <row r="2" spans="1:7" x14ac:dyDescent="0.2">
      <c r="A2" t="s">
        <v>26</v>
      </c>
      <c r="C2" t="s">
        <v>118</v>
      </c>
      <c r="D2" t="s">
        <v>119</v>
      </c>
      <c r="F2" t="s">
        <v>118</v>
      </c>
      <c r="G2" t="b">
        <f>C2=F2</f>
        <v>1</v>
      </c>
    </row>
    <row r="3" spans="1:7" x14ac:dyDescent="0.2">
      <c r="A3" t="s">
        <v>27</v>
      </c>
      <c r="C3" t="s">
        <v>120</v>
      </c>
      <c r="D3" t="s">
        <v>121</v>
      </c>
      <c r="F3" t="s">
        <v>120</v>
      </c>
      <c r="G3" t="b">
        <f t="shared" ref="G3:G66" si="0">C3=F3</f>
        <v>1</v>
      </c>
    </row>
    <row r="4" spans="1:7" x14ac:dyDescent="0.2">
      <c r="A4" t="s">
        <v>28</v>
      </c>
      <c r="C4" t="s">
        <v>122</v>
      </c>
      <c r="D4" t="s">
        <v>123</v>
      </c>
      <c r="F4" t="s">
        <v>122</v>
      </c>
      <c r="G4" t="b">
        <f t="shared" si="0"/>
        <v>1</v>
      </c>
    </row>
    <row r="5" spans="1:7" x14ac:dyDescent="0.2">
      <c r="A5" t="s">
        <v>29</v>
      </c>
      <c r="C5" t="s">
        <v>124</v>
      </c>
      <c r="D5" t="s">
        <v>125</v>
      </c>
      <c r="F5" t="s">
        <v>124</v>
      </c>
      <c r="G5" t="b">
        <f t="shared" si="0"/>
        <v>1</v>
      </c>
    </row>
    <row r="6" spans="1:7" x14ac:dyDescent="0.2">
      <c r="A6" t="s">
        <v>30</v>
      </c>
      <c r="C6" t="s">
        <v>126</v>
      </c>
      <c r="D6" t="s">
        <v>127</v>
      </c>
      <c r="F6" t="s">
        <v>126</v>
      </c>
      <c r="G6" t="b">
        <f t="shared" si="0"/>
        <v>1</v>
      </c>
    </row>
    <row r="7" spans="1:7" x14ac:dyDescent="0.2">
      <c r="A7" t="s">
        <v>31</v>
      </c>
      <c r="C7" t="s">
        <v>128</v>
      </c>
      <c r="D7" t="s">
        <v>129</v>
      </c>
      <c r="F7" t="s">
        <v>128</v>
      </c>
      <c r="G7" t="b">
        <f t="shared" si="0"/>
        <v>1</v>
      </c>
    </row>
    <row r="8" spans="1:7" x14ac:dyDescent="0.2">
      <c r="A8" t="s">
        <v>32</v>
      </c>
      <c r="C8" t="s">
        <v>130</v>
      </c>
      <c r="D8" t="s">
        <v>131</v>
      </c>
      <c r="F8" t="s">
        <v>130</v>
      </c>
      <c r="G8" t="b">
        <f t="shared" si="0"/>
        <v>1</v>
      </c>
    </row>
    <row r="9" spans="1:7" x14ac:dyDescent="0.2">
      <c r="A9" t="s">
        <v>33</v>
      </c>
      <c r="C9" t="s">
        <v>132</v>
      </c>
      <c r="D9" t="s">
        <v>133</v>
      </c>
      <c r="F9" t="s">
        <v>132</v>
      </c>
      <c r="G9" t="b">
        <f t="shared" si="0"/>
        <v>1</v>
      </c>
    </row>
    <row r="10" spans="1:7" x14ac:dyDescent="0.2">
      <c r="A10" t="s">
        <v>34</v>
      </c>
      <c r="C10" t="s">
        <v>134</v>
      </c>
      <c r="D10" t="s">
        <v>135</v>
      </c>
      <c r="F10" t="s">
        <v>134</v>
      </c>
      <c r="G10" t="b">
        <f t="shared" si="0"/>
        <v>1</v>
      </c>
    </row>
    <row r="11" spans="1:7" x14ac:dyDescent="0.2">
      <c r="A11" t="s">
        <v>35</v>
      </c>
      <c r="C11" t="s">
        <v>136</v>
      </c>
      <c r="D11" t="s">
        <v>137</v>
      </c>
      <c r="F11" t="s">
        <v>136</v>
      </c>
      <c r="G11" t="b">
        <f t="shared" si="0"/>
        <v>1</v>
      </c>
    </row>
    <row r="12" spans="1:7" x14ac:dyDescent="0.2">
      <c r="A12" t="s">
        <v>36</v>
      </c>
      <c r="C12" t="s">
        <v>138</v>
      </c>
      <c r="D12" t="s">
        <v>139</v>
      </c>
      <c r="F12" t="s">
        <v>138</v>
      </c>
      <c r="G12" t="b">
        <f t="shared" si="0"/>
        <v>1</v>
      </c>
    </row>
    <row r="13" spans="1:7" x14ac:dyDescent="0.2">
      <c r="A13" t="s">
        <v>37</v>
      </c>
      <c r="C13" t="s">
        <v>140</v>
      </c>
      <c r="D13" t="s">
        <v>141</v>
      </c>
      <c r="F13" t="s">
        <v>140</v>
      </c>
      <c r="G13" t="b">
        <f t="shared" si="0"/>
        <v>1</v>
      </c>
    </row>
    <row r="14" spans="1:7" x14ac:dyDescent="0.2">
      <c r="A14" t="s">
        <v>38</v>
      </c>
      <c r="C14" t="s">
        <v>142</v>
      </c>
      <c r="D14" t="s">
        <v>143</v>
      </c>
      <c r="F14" t="s">
        <v>142</v>
      </c>
      <c r="G14" t="b">
        <f t="shared" si="0"/>
        <v>1</v>
      </c>
    </row>
    <row r="15" spans="1:7" x14ac:dyDescent="0.2">
      <c r="A15" t="s">
        <v>39</v>
      </c>
      <c r="C15" t="s">
        <v>144</v>
      </c>
      <c r="D15" t="s">
        <v>145</v>
      </c>
      <c r="F15" t="s">
        <v>144</v>
      </c>
      <c r="G15" t="b">
        <f t="shared" si="0"/>
        <v>1</v>
      </c>
    </row>
    <row r="16" spans="1:7" x14ac:dyDescent="0.2">
      <c r="A16" t="s">
        <v>40</v>
      </c>
      <c r="C16" t="s">
        <v>146</v>
      </c>
      <c r="D16" t="s">
        <v>147</v>
      </c>
      <c r="F16" t="s">
        <v>146</v>
      </c>
      <c r="G16" t="b">
        <f t="shared" si="0"/>
        <v>1</v>
      </c>
    </row>
    <row r="17" spans="1:7" x14ac:dyDescent="0.2">
      <c r="A17" t="s">
        <v>41</v>
      </c>
      <c r="C17" t="s">
        <v>148</v>
      </c>
      <c r="D17" t="s">
        <v>149</v>
      </c>
      <c r="F17" t="s">
        <v>148</v>
      </c>
      <c r="G17" t="b">
        <f t="shared" si="0"/>
        <v>1</v>
      </c>
    </row>
    <row r="18" spans="1:7" x14ac:dyDescent="0.2">
      <c r="A18" t="s">
        <v>42</v>
      </c>
      <c r="C18" t="s">
        <v>150</v>
      </c>
      <c r="D18" t="s">
        <v>151</v>
      </c>
      <c r="F18" t="s">
        <v>150</v>
      </c>
      <c r="G18" t="b">
        <f t="shared" si="0"/>
        <v>1</v>
      </c>
    </row>
    <row r="19" spans="1:7" x14ac:dyDescent="0.2">
      <c r="A19" t="s">
        <v>43</v>
      </c>
      <c r="C19" t="s">
        <v>152</v>
      </c>
      <c r="D19" t="s">
        <v>153</v>
      </c>
      <c r="F19" t="s">
        <v>152</v>
      </c>
      <c r="G19" t="b">
        <f t="shared" si="0"/>
        <v>1</v>
      </c>
    </row>
    <row r="20" spans="1:7" x14ac:dyDescent="0.2">
      <c r="A20" t="s">
        <v>44</v>
      </c>
      <c r="C20">
        <v>1</v>
      </c>
      <c r="D20" t="s">
        <v>154</v>
      </c>
      <c r="F20">
        <v>1</v>
      </c>
      <c r="G20" t="b">
        <f t="shared" si="0"/>
        <v>1</v>
      </c>
    </row>
    <row r="21" spans="1:7" x14ac:dyDescent="0.2">
      <c r="A21" t="s">
        <v>45</v>
      </c>
      <c r="C21" t="s">
        <v>155</v>
      </c>
      <c r="D21" t="s">
        <v>156</v>
      </c>
      <c r="F21" t="s">
        <v>155</v>
      </c>
      <c r="G21" t="b">
        <f t="shared" si="0"/>
        <v>1</v>
      </c>
    </row>
    <row r="22" spans="1:7" x14ac:dyDescent="0.2">
      <c r="A22" t="s">
        <v>46</v>
      </c>
      <c r="C22" t="s">
        <v>157</v>
      </c>
      <c r="D22" t="s">
        <v>158</v>
      </c>
      <c r="F22" t="s">
        <v>157</v>
      </c>
      <c r="G22" t="b">
        <f t="shared" si="0"/>
        <v>1</v>
      </c>
    </row>
    <row r="23" spans="1:7" x14ac:dyDescent="0.2">
      <c r="A23" t="s">
        <v>47</v>
      </c>
      <c r="C23" t="s">
        <v>159</v>
      </c>
      <c r="D23" t="s">
        <v>160</v>
      </c>
      <c r="F23" t="s">
        <v>159</v>
      </c>
      <c r="G23" t="b">
        <f t="shared" si="0"/>
        <v>1</v>
      </c>
    </row>
    <row r="24" spans="1:7" x14ac:dyDescent="0.2">
      <c r="A24" t="s">
        <v>48</v>
      </c>
      <c r="C24" t="s">
        <v>161</v>
      </c>
      <c r="D24" t="s">
        <v>162</v>
      </c>
      <c r="F24" t="s">
        <v>161</v>
      </c>
      <c r="G24" t="b">
        <f t="shared" si="0"/>
        <v>1</v>
      </c>
    </row>
    <row r="25" spans="1:7" x14ac:dyDescent="0.2">
      <c r="A25" t="s">
        <v>49</v>
      </c>
      <c r="C25" t="s">
        <v>163</v>
      </c>
      <c r="D25" t="s">
        <v>164</v>
      </c>
      <c r="F25" t="s">
        <v>163</v>
      </c>
      <c r="G25" t="b">
        <f t="shared" si="0"/>
        <v>1</v>
      </c>
    </row>
    <row r="26" spans="1:7" x14ac:dyDescent="0.2">
      <c r="A26" t="s">
        <v>50</v>
      </c>
      <c r="C26" t="s">
        <v>165</v>
      </c>
      <c r="D26" t="s">
        <v>166</v>
      </c>
      <c r="F26" t="s">
        <v>165</v>
      </c>
      <c r="G26" t="b">
        <f t="shared" si="0"/>
        <v>1</v>
      </c>
    </row>
    <row r="27" spans="1:7" x14ac:dyDescent="0.2">
      <c r="A27" t="s">
        <v>51</v>
      </c>
      <c r="C27" t="s">
        <v>167</v>
      </c>
      <c r="D27" t="s">
        <v>168</v>
      </c>
      <c r="F27" t="s">
        <v>167</v>
      </c>
      <c r="G27" t="b">
        <f t="shared" si="0"/>
        <v>1</v>
      </c>
    </row>
    <row r="28" spans="1:7" x14ac:dyDescent="0.2">
      <c r="A28" t="s">
        <v>52</v>
      </c>
      <c r="C28" t="s">
        <v>169</v>
      </c>
      <c r="D28" t="s">
        <v>170</v>
      </c>
      <c r="F28" t="s">
        <v>169</v>
      </c>
      <c r="G28" t="b">
        <f t="shared" si="0"/>
        <v>1</v>
      </c>
    </row>
    <row r="29" spans="1:7" x14ac:dyDescent="0.2">
      <c r="A29" t="s">
        <v>53</v>
      </c>
      <c r="C29" t="s">
        <v>171</v>
      </c>
      <c r="D29" t="s">
        <v>172</v>
      </c>
      <c r="F29" t="s">
        <v>171</v>
      </c>
      <c r="G29" t="b">
        <f t="shared" si="0"/>
        <v>1</v>
      </c>
    </row>
    <row r="30" spans="1:7" x14ac:dyDescent="0.2">
      <c r="A30" t="s">
        <v>54</v>
      </c>
      <c r="C30" t="s">
        <v>173</v>
      </c>
      <c r="D30" t="s">
        <v>174</v>
      </c>
      <c r="F30" t="s">
        <v>173</v>
      </c>
      <c r="G30" t="b">
        <f t="shared" si="0"/>
        <v>1</v>
      </c>
    </row>
    <row r="31" spans="1:7" x14ac:dyDescent="0.2">
      <c r="A31" t="s">
        <v>55</v>
      </c>
      <c r="C31" t="s">
        <v>175</v>
      </c>
      <c r="D31" t="s">
        <v>176</v>
      </c>
      <c r="F31" t="s">
        <v>175</v>
      </c>
      <c r="G31" t="b">
        <f t="shared" si="0"/>
        <v>1</v>
      </c>
    </row>
    <row r="32" spans="1:7" x14ac:dyDescent="0.2">
      <c r="A32" t="s">
        <v>56</v>
      </c>
      <c r="C32" t="s">
        <v>177</v>
      </c>
      <c r="D32" t="s">
        <v>178</v>
      </c>
      <c r="G32" t="b">
        <f t="shared" si="0"/>
        <v>0</v>
      </c>
    </row>
    <row r="33" spans="1:7" x14ac:dyDescent="0.2">
      <c r="A33" t="s">
        <v>57</v>
      </c>
      <c r="C33" t="s">
        <v>179</v>
      </c>
      <c r="D33" t="s">
        <v>180</v>
      </c>
      <c r="F33" t="s">
        <v>179</v>
      </c>
      <c r="G33" t="b">
        <f t="shared" si="0"/>
        <v>1</v>
      </c>
    </row>
    <row r="34" spans="1:7" x14ac:dyDescent="0.2">
      <c r="A34" t="s">
        <v>58</v>
      </c>
      <c r="C34" t="s">
        <v>181</v>
      </c>
      <c r="D34" t="s">
        <v>182</v>
      </c>
      <c r="F34" t="s">
        <v>181</v>
      </c>
      <c r="G34" t="b">
        <f t="shared" si="0"/>
        <v>1</v>
      </c>
    </row>
    <row r="35" spans="1:7" x14ac:dyDescent="0.2">
      <c r="A35" t="s">
        <v>59</v>
      </c>
      <c r="C35" t="s">
        <v>183</v>
      </c>
      <c r="D35" t="s">
        <v>184</v>
      </c>
      <c r="F35" t="s">
        <v>183</v>
      </c>
      <c r="G35" t="b">
        <f t="shared" si="0"/>
        <v>1</v>
      </c>
    </row>
    <row r="36" spans="1:7" x14ac:dyDescent="0.2">
      <c r="A36" t="s">
        <v>60</v>
      </c>
      <c r="C36" t="s">
        <v>185</v>
      </c>
      <c r="D36" t="s">
        <v>186</v>
      </c>
      <c r="F36" t="s">
        <v>185</v>
      </c>
      <c r="G36" t="b">
        <f t="shared" si="0"/>
        <v>1</v>
      </c>
    </row>
    <row r="37" spans="1:7" x14ac:dyDescent="0.2">
      <c r="A37" t="s">
        <v>61</v>
      </c>
      <c r="C37" t="s">
        <v>187</v>
      </c>
      <c r="D37" t="s">
        <v>188</v>
      </c>
      <c r="F37" t="s">
        <v>187</v>
      </c>
      <c r="G37" t="b">
        <f t="shared" si="0"/>
        <v>1</v>
      </c>
    </row>
    <row r="38" spans="1:7" x14ac:dyDescent="0.2">
      <c r="A38" t="s">
        <v>62</v>
      </c>
      <c r="C38" t="s">
        <v>189</v>
      </c>
      <c r="D38" t="s">
        <v>190</v>
      </c>
      <c r="F38" t="s">
        <v>189</v>
      </c>
      <c r="G38" t="b">
        <f t="shared" si="0"/>
        <v>1</v>
      </c>
    </row>
    <row r="39" spans="1:7" x14ac:dyDescent="0.2">
      <c r="A39" t="s">
        <v>63</v>
      </c>
      <c r="C39" t="s">
        <v>191</v>
      </c>
      <c r="D39" t="s">
        <v>192</v>
      </c>
      <c r="F39" t="s">
        <v>191</v>
      </c>
      <c r="G39" t="b">
        <f t="shared" si="0"/>
        <v>1</v>
      </c>
    </row>
    <row r="40" spans="1:7" x14ac:dyDescent="0.2">
      <c r="A40" t="s">
        <v>64</v>
      </c>
      <c r="C40" t="s">
        <v>193</v>
      </c>
      <c r="D40" t="s">
        <v>194</v>
      </c>
      <c r="F40" t="s">
        <v>193</v>
      </c>
      <c r="G40" t="b">
        <f t="shared" si="0"/>
        <v>1</v>
      </c>
    </row>
    <row r="41" spans="1:7" x14ac:dyDescent="0.2">
      <c r="A41" t="s">
        <v>65</v>
      </c>
      <c r="C41" t="s">
        <v>195</v>
      </c>
      <c r="D41" t="s">
        <v>196</v>
      </c>
      <c r="F41" t="s">
        <v>195</v>
      </c>
      <c r="G41" t="b">
        <f t="shared" si="0"/>
        <v>1</v>
      </c>
    </row>
    <row r="42" spans="1:7" x14ac:dyDescent="0.2">
      <c r="A42" t="s">
        <v>66</v>
      </c>
      <c r="C42" t="s">
        <v>197</v>
      </c>
      <c r="D42" t="s">
        <v>198</v>
      </c>
      <c r="F42" t="s">
        <v>197</v>
      </c>
      <c r="G42" t="b">
        <f t="shared" si="0"/>
        <v>1</v>
      </c>
    </row>
    <row r="43" spans="1:7" x14ac:dyDescent="0.2">
      <c r="A43" t="s">
        <v>67</v>
      </c>
      <c r="C43" t="s">
        <v>199</v>
      </c>
      <c r="D43" t="s">
        <v>200</v>
      </c>
      <c r="F43" t="s">
        <v>199</v>
      </c>
      <c r="G43" t="b">
        <f t="shared" si="0"/>
        <v>1</v>
      </c>
    </row>
    <row r="44" spans="1:7" x14ac:dyDescent="0.2">
      <c r="A44" t="s">
        <v>68</v>
      </c>
      <c r="C44" t="s">
        <v>201</v>
      </c>
      <c r="D44" t="s">
        <v>202</v>
      </c>
      <c r="F44" t="s">
        <v>201</v>
      </c>
      <c r="G44" t="b">
        <f t="shared" si="0"/>
        <v>1</v>
      </c>
    </row>
    <row r="45" spans="1:7" x14ac:dyDescent="0.2">
      <c r="A45" t="s">
        <v>69</v>
      </c>
      <c r="C45" t="s">
        <v>203</v>
      </c>
      <c r="D45" t="s">
        <v>204</v>
      </c>
      <c r="F45" t="s">
        <v>203</v>
      </c>
      <c r="G45" t="b">
        <f t="shared" si="0"/>
        <v>1</v>
      </c>
    </row>
    <row r="46" spans="1:7" x14ac:dyDescent="0.2">
      <c r="A46" t="s">
        <v>70</v>
      </c>
      <c r="C46" t="s">
        <v>205</v>
      </c>
      <c r="D46" t="s">
        <v>206</v>
      </c>
      <c r="F46" t="s">
        <v>205</v>
      </c>
      <c r="G46" t="b">
        <f t="shared" si="0"/>
        <v>1</v>
      </c>
    </row>
    <row r="47" spans="1:7" x14ac:dyDescent="0.2">
      <c r="A47" t="s">
        <v>71</v>
      </c>
      <c r="C47" t="s">
        <v>207</v>
      </c>
      <c r="D47" t="s">
        <v>208</v>
      </c>
      <c r="F47" t="s">
        <v>207</v>
      </c>
      <c r="G47" t="b">
        <f t="shared" si="0"/>
        <v>1</v>
      </c>
    </row>
    <row r="48" spans="1:7" x14ac:dyDescent="0.2">
      <c r="A48" t="s">
        <v>72</v>
      </c>
      <c r="C48" t="s">
        <v>209</v>
      </c>
      <c r="D48" t="s">
        <v>210</v>
      </c>
      <c r="F48" t="s">
        <v>209</v>
      </c>
      <c r="G48" t="b">
        <f t="shared" si="0"/>
        <v>1</v>
      </c>
    </row>
    <row r="49" spans="1:7" x14ac:dyDescent="0.2">
      <c r="A49" t="s">
        <v>73</v>
      </c>
      <c r="C49" t="s">
        <v>211</v>
      </c>
      <c r="D49" t="s">
        <v>212</v>
      </c>
      <c r="F49" t="s">
        <v>211</v>
      </c>
      <c r="G49" t="b">
        <f t="shared" si="0"/>
        <v>1</v>
      </c>
    </row>
    <row r="50" spans="1:7" x14ac:dyDescent="0.2">
      <c r="A50" t="s">
        <v>74</v>
      </c>
      <c r="C50" t="s">
        <v>213</v>
      </c>
      <c r="D50" t="s">
        <v>214</v>
      </c>
      <c r="F50" t="s">
        <v>213</v>
      </c>
      <c r="G50" t="b">
        <f t="shared" si="0"/>
        <v>1</v>
      </c>
    </row>
    <row r="51" spans="1:7" x14ac:dyDescent="0.2">
      <c r="A51" t="s">
        <v>75</v>
      </c>
      <c r="C51" t="s">
        <v>215</v>
      </c>
      <c r="D51" t="s">
        <v>216</v>
      </c>
      <c r="F51" t="s">
        <v>215</v>
      </c>
      <c r="G51" t="b">
        <f t="shared" si="0"/>
        <v>1</v>
      </c>
    </row>
    <row r="52" spans="1:7" x14ac:dyDescent="0.2">
      <c r="A52" t="s">
        <v>76</v>
      </c>
      <c r="C52" t="s">
        <v>217</v>
      </c>
      <c r="D52" t="s">
        <v>218</v>
      </c>
      <c r="F52" t="s">
        <v>217</v>
      </c>
      <c r="G52" t="b">
        <f t="shared" si="0"/>
        <v>1</v>
      </c>
    </row>
    <row r="53" spans="1:7" x14ac:dyDescent="0.2">
      <c r="A53" t="s">
        <v>77</v>
      </c>
      <c r="C53" t="s">
        <v>219</v>
      </c>
      <c r="D53" t="s">
        <v>220</v>
      </c>
      <c r="F53" t="s">
        <v>219</v>
      </c>
      <c r="G53" t="b">
        <f t="shared" si="0"/>
        <v>1</v>
      </c>
    </row>
    <row r="54" spans="1:7" x14ac:dyDescent="0.2">
      <c r="A54" t="s">
        <v>78</v>
      </c>
      <c r="C54" t="s">
        <v>221</v>
      </c>
      <c r="D54" t="s">
        <v>222</v>
      </c>
      <c r="F54" t="s">
        <v>221</v>
      </c>
      <c r="G54" t="b">
        <f t="shared" si="0"/>
        <v>1</v>
      </c>
    </row>
    <row r="55" spans="1:7" x14ac:dyDescent="0.2">
      <c r="A55" t="s">
        <v>79</v>
      </c>
      <c r="C55" t="s">
        <v>223</v>
      </c>
      <c r="D55" t="s">
        <v>224</v>
      </c>
      <c r="F55" t="s">
        <v>223</v>
      </c>
      <c r="G55" t="b">
        <f t="shared" si="0"/>
        <v>1</v>
      </c>
    </row>
    <row r="56" spans="1:7" x14ac:dyDescent="0.2">
      <c r="A56" t="s">
        <v>80</v>
      </c>
      <c r="C56" t="s">
        <v>225</v>
      </c>
      <c r="D56" t="s">
        <v>226</v>
      </c>
      <c r="F56" t="s">
        <v>225</v>
      </c>
      <c r="G56" t="b">
        <f t="shared" si="0"/>
        <v>1</v>
      </c>
    </row>
    <row r="57" spans="1:7" x14ac:dyDescent="0.2">
      <c r="A57" t="s">
        <v>81</v>
      </c>
      <c r="C57" t="s">
        <v>227</v>
      </c>
      <c r="D57" t="s">
        <v>228</v>
      </c>
      <c r="F57" t="s">
        <v>227</v>
      </c>
      <c r="G57" t="b">
        <f t="shared" si="0"/>
        <v>1</v>
      </c>
    </row>
    <row r="58" spans="1:7" x14ac:dyDescent="0.2">
      <c r="A58" t="s">
        <v>82</v>
      </c>
      <c r="C58" t="s">
        <v>229</v>
      </c>
      <c r="D58" t="s">
        <v>230</v>
      </c>
      <c r="F58" t="s">
        <v>229</v>
      </c>
      <c r="G58" t="b">
        <f t="shared" si="0"/>
        <v>1</v>
      </c>
    </row>
    <row r="59" spans="1:7" x14ac:dyDescent="0.2">
      <c r="A59" t="s">
        <v>83</v>
      </c>
      <c r="C59" t="s">
        <v>231</v>
      </c>
      <c r="D59" t="s">
        <v>232</v>
      </c>
      <c r="F59" t="s">
        <v>231</v>
      </c>
      <c r="G59" t="b">
        <f t="shared" si="0"/>
        <v>1</v>
      </c>
    </row>
    <row r="60" spans="1:7" x14ac:dyDescent="0.2">
      <c r="A60" t="s">
        <v>84</v>
      </c>
      <c r="C60" t="s">
        <v>233</v>
      </c>
      <c r="D60" t="s">
        <v>234</v>
      </c>
      <c r="F60" t="s">
        <v>233</v>
      </c>
      <c r="G60" t="b">
        <f t="shared" si="0"/>
        <v>1</v>
      </c>
    </row>
    <row r="61" spans="1:7" x14ac:dyDescent="0.2">
      <c r="A61" t="s">
        <v>85</v>
      </c>
      <c r="C61" t="s">
        <v>235</v>
      </c>
      <c r="D61" t="s">
        <v>236</v>
      </c>
      <c r="F61" t="s">
        <v>235</v>
      </c>
      <c r="G61" t="b">
        <f t="shared" si="0"/>
        <v>1</v>
      </c>
    </row>
    <row r="62" spans="1:7" x14ac:dyDescent="0.2">
      <c r="A62" t="s">
        <v>86</v>
      </c>
      <c r="C62" t="s">
        <v>237</v>
      </c>
      <c r="D62" t="s">
        <v>238</v>
      </c>
      <c r="F62" t="s">
        <v>237</v>
      </c>
      <c r="G62" t="b">
        <f t="shared" si="0"/>
        <v>1</v>
      </c>
    </row>
    <row r="63" spans="1:7" x14ac:dyDescent="0.2">
      <c r="A63" t="s">
        <v>87</v>
      </c>
      <c r="C63" t="s">
        <v>239</v>
      </c>
      <c r="D63" t="s">
        <v>240</v>
      </c>
      <c r="F63" t="s">
        <v>239</v>
      </c>
      <c r="G63" t="b">
        <f t="shared" si="0"/>
        <v>1</v>
      </c>
    </row>
    <row r="64" spans="1:7" x14ac:dyDescent="0.2">
      <c r="A64" t="s">
        <v>88</v>
      </c>
      <c r="C64" t="s">
        <v>241</v>
      </c>
      <c r="D64" t="s">
        <v>242</v>
      </c>
      <c r="F64" t="s">
        <v>241</v>
      </c>
      <c r="G64" t="b">
        <f t="shared" si="0"/>
        <v>1</v>
      </c>
    </row>
    <row r="65" spans="1:7" x14ac:dyDescent="0.2">
      <c r="A65" t="s">
        <v>89</v>
      </c>
      <c r="C65" t="s">
        <v>243</v>
      </c>
      <c r="D65" t="s">
        <v>244</v>
      </c>
      <c r="F65" t="s">
        <v>243</v>
      </c>
      <c r="G65" t="b">
        <f t="shared" si="0"/>
        <v>1</v>
      </c>
    </row>
    <row r="66" spans="1:7" x14ac:dyDescent="0.2">
      <c r="A66" t="s">
        <v>90</v>
      </c>
      <c r="C66" t="s">
        <v>245</v>
      </c>
      <c r="D66" t="s">
        <v>246</v>
      </c>
      <c r="G66" t="b">
        <f t="shared" si="0"/>
        <v>0</v>
      </c>
    </row>
    <row r="67" spans="1:7" x14ac:dyDescent="0.2">
      <c r="A67" t="s">
        <v>91</v>
      </c>
      <c r="C67" t="s">
        <v>247</v>
      </c>
      <c r="D67" t="s">
        <v>248</v>
      </c>
      <c r="F67" t="s">
        <v>247</v>
      </c>
      <c r="G67" t="b">
        <f t="shared" ref="G67:G87" si="1">C67=F67</f>
        <v>1</v>
      </c>
    </row>
    <row r="68" spans="1:7" x14ac:dyDescent="0.2">
      <c r="A68" t="s">
        <v>92</v>
      </c>
      <c r="C68" t="s">
        <v>249</v>
      </c>
      <c r="D68" t="s">
        <v>250</v>
      </c>
      <c r="F68" t="s">
        <v>249</v>
      </c>
      <c r="G68" t="b">
        <f t="shared" si="1"/>
        <v>1</v>
      </c>
    </row>
    <row r="69" spans="1:7" x14ac:dyDescent="0.2">
      <c r="A69" t="s">
        <v>93</v>
      </c>
      <c r="C69" t="s">
        <v>251</v>
      </c>
      <c r="D69" t="s">
        <v>244</v>
      </c>
      <c r="F69" t="s">
        <v>251</v>
      </c>
      <c r="G69" t="b">
        <f t="shared" si="1"/>
        <v>1</v>
      </c>
    </row>
    <row r="70" spans="1:7" x14ac:dyDescent="0.2">
      <c r="A70" t="s">
        <v>94</v>
      </c>
      <c r="C70" t="s">
        <v>252</v>
      </c>
      <c r="D70" t="s">
        <v>253</v>
      </c>
      <c r="F70" t="s">
        <v>252</v>
      </c>
      <c r="G70" t="b">
        <f t="shared" si="1"/>
        <v>1</v>
      </c>
    </row>
    <row r="71" spans="1:7" x14ac:dyDescent="0.2">
      <c r="A71" t="s">
        <v>95</v>
      </c>
      <c r="C71" t="s">
        <v>254</v>
      </c>
      <c r="D71" t="s">
        <v>255</v>
      </c>
      <c r="F71" t="s">
        <v>254</v>
      </c>
      <c r="G71" t="b">
        <f t="shared" si="1"/>
        <v>1</v>
      </c>
    </row>
    <row r="72" spans="1:7" x14ac:dyDescent="0.2">
      <c r="A72" t="s">
        <v>96</v>
      </c>
      <c r="C72" t="s">
        <v>256</v>
      </c>
      <c r="D72" t="s">
        <v>257</v>
      </c>
      <c r="G72" t="b">
        <f t="shared" si="1"/>
        <v>0</v>
      </c>
    </row>
    <row r="73" spans="1:7" x14ac:dyDescent="0.2">
      <c r="A73" t="s">
        <v>97</v>
      </c>
      <c r="C73" t="s">
        <v>258</v>
      </c>
      <c r="D73" t="s">
        <v>259</v>
      </c>
      <c r="F73" t="s">
        <v>258</v>
      </c>
      <c r="G73" t="b">
        <f t="shared" si="1"/>
        <v>1</v>
      </c>
    </row>
    <row r="74" spans="1:7" x14ac:dyDescent="0.2">
      <c r="A74" t="s">
        <v>98</v>
      </c>
      <c r="C74" t="s">
        <v>260</v>
      </c>
      <c r="D74" t="s">
        <v>261</v>
      </c>
      <c r="F74" t="s">
        <v>260</v>
      </c>
      <c r="G74" t="b">
        <f t="shared" si="1"/>
        <v>1</v>
      </c>
    </row>
    <row r="75" spans="1:7" x14ac:dyDescent="0.2">
      <c r="A75" t="s">
        <v>99</v>
      </c>
      <c r="C75" t="s">
        <v>262</v>
      </c>
      <c r="D75" t="s">
        <v>263</v>
      </c>
      <c r="F75" t="s">
        <v>262</v>
      </c>
      <c r="G75" t="b">
        <f t="shared" si="1"/>
        <v>1</v>
      </c>
    </row>
    <row r="76" spans="1:7" x14ac:dyDescent="0.2">
      <c r="A76" t="s">
        <v>100</v>
      </c>
      <c r="C76" t="s">
        <v>264</v>
      </c>
      <c r="D76" t="s">
        <v>265</v>
      </c>
      <c r="F76" t="s">
        <v>264</v>
      </c>
      <c r="G76" t="b">
        <f t="shared" si="1"/>
        <v>1</v>
      </c>
    </row>
    <row r="77" spans="1:7" x14ac:dyDescent="0.2">
      <c r="A77" t="s">
        <v>101</v>
      </c>
      <c r="C77" t="s">
        <v>266</v>
      </c>
      <c r="D77" t="s">
        <v>267</v>
      </c>
      <c r="F77" t="s">
        <v>266</v>
      </c>
      <c r="G77" t="b">
        <f t="shared" si="1"/>
        <v>1</v>
      </c>
    </row>
    <row r="78" spans="1:7" x14ac:dyDescent="0.2">
      <c r="A78" t="s">
        <v>102</v>
      </c>
      <c r="C78" t="s">
        <v>268</v>
      </c>
      <c r="D78" t="s">
        <v>269</v>
      </c>
      <c r="F78" t="s">
        <v>268</v>
      </c>
      <c r="G78" t="b">
        <f t="shared" si="1"/>
        <v>1</v>
      </c>
    </row>
    <row r="79" spans="1:7" x14ac:dyDescent="0.2">
      <c r="A79" t="s">
        <v>103</v>
      </c>
      <c r="C79" t="s">
        <v>270</v>
      </c>
      <c r="D79" t="s">
        <v>271</v>
      </c>
      <c r="F79" t="s">
        <v>270</v>
      </c>
      <c r="G79" t="b">
        <f t="shared" si="1"/>
        <v>1</v>
      </c>
    </row>
    <row r="80" spans="1:7" x14ac:dyDescent="0.2">
      <c r="A80" t="s">
        <v>104</v>
      </c>
      <c r="C80" t="s">
        <v>272</v>
      </c>
      <c r="D80" t="s">
        <v>273</v>
      </c>
      <c r="F80" t="s">
        <v>272</v>
      </c>
      <c r="G80" t="b">
        <f t="shared" si="1"/>
        <v>1</v>
      </c>
    </row>
    <row r="81" spans="1:7" x14ac:dyDescent="0.2">
      <c r="A81" t="s">
        <v>105</v>
      </c>
      <c r="C81" t="s">
        <v>274</v>
      </c>
      <c r="D81" t="s">
        <v>275</v>
      </c>
      <c r="F81" t="s">
        <v>274</v>
      </c>
      <c r="G81" t="b">
        <f t="shared" si="1"/>
        <v>1</v>
      </c>
    </row>
    <row r="82" spans="1:7" x14ac:dyDescent="0.2">
      <c r="A82" t="s">
        <v>106</v>
      </c>
      <c r="C82" t="s">
        <v>276</v>
      </c>
      <c r="D82" t="s">
        <v>277</v>
      </c>
      <c r="F82" t="s">
        <v>276</v>
      </c>
      <c r="G82" t="b">
        <f t="shared" si="1"/>
        <v>1</v>
      </c>
    </row>
    <row r="83" spans="1:7" x14ac:dyDescent="0.2">
      <c r="A83" t="s">
        <v>107</v>
      </c>
      <c r="C83" t="s">
        <v>278</v>
      </c>
      <c r="D83" t="s">
        <v>279</v>
      </c>
      <c r="F83" t="s">
        <v>278</v>
      </c>
      <c r="G83" t="b">
        <f t="shared" si="1"/>
        <v>1</v>
      </c>
    </row>
    <row r="84" spans="1:7" x14ac:dyDescent="0.2">
      <c r="A84" t="s">
        <v>108</v>
      </c>
      <c r="C84" t="s">
        <v>280</v>
      </c>
      <c r="D84" t="s">
        <v>281</v>
      </c>
      <c r="F84" t="s">
        <v>280</v>
      </c>
      <c r="G84" t="b">
        <f t="shared" si="1"/>
        <v>1</v>
      </c>
    </row>
    <row r="85" spans="1:7" x14ac:dyDescent="0.2">
      <c r="A85" t="s">
        <v>4</v>
      </c>
      <c r="C85" t="s">
        <v>282</v>
      </c>
      <c r="D85" t="s">
        <v>283</v>
      </c>
      <c r="F85" t="s">
        <v>282</v>
      </c>
      <c r="G85" t="b">
        <f t="shared" si="1"/>
        <v>1</v>
      </c>
    </row>
    <row r="86" spans="1:7" x14ac:dyDescent="0.2">
      <c r="A86" t="s">
        <v>109</v>
      </c>
      <c r="C86" t="s">
        <v>284</v>
      </c>
      <c r="D86" t="s">
        <v>285</v>
      </c>
      <c r="F86" t="s">
        <v>284</v>
      </c>
      <c r="G86" t="b">
        <f t="shared" si="1"/>
        <v>1</v>
      </c>
    </row>
    <row r="87" spans="1:7" x14ac:dyDescent="0.2">
      <c r="A87" t="s">
        <v>110</v>
      </c>
      <c r="C87" t="s">
        <v>4</v>
      </c>
      <c r="D87" t="s">
        <v>286</v>
      </c>
      <c r="F87" t="s">
        <v>4</v>
      </c>
      <c r="G87" t="b">
        <f t="shared" si="1"/>
        <v>1</v>
      </c>
    </row>
    <row r="88" spans="1:7" x14ac:dyDescent="0.2">
      <c r="A88" t="s">
        <v>111</v>
      </c>
    </row>
    <row r="89" spans="1:7" x14ac:dyDescent="0.2">
      <c r="A89" t="s">
        <v>112</v>
      </c>
    </row>
    <row r="90" spans="1:7" x14ac:dyDescent="0.2">
      <c r="A90" t="s">
        <v>113</v>
      </c>
    </row>
    <row r="91" spans="1:7" x14ac:dyDescent="0.2">
      <c r="A91" t="s">
        <v>114</v>
      </c>
    </row>
    <row r="92" spans="1:7" x14ac:dyDescent="0.2">
      <c r="A92" t="s">
        <v>115</v>
      </c>
    </row>
    <row r="110" spans="1:2" x14ac:dyDescent="0.2">
      <c r="A110" t="s">
        <v>292</v>
      </c>
      <c r="B110" t="s">
        <v>293</v>
      </c>
    </row>
    <row r="111" spans="1:2" x14ac:dyDescent="0.2">
      <c r="A111" t="s">
        <v>287</v>
      </c>
      <c r="B111">
        <v>1</v>
      </c>
    </row>
    <row r="112" spans="1:2" x14ac:dyDescent="0.2">
      <c r="A112" t="s">
        <v>288</v>
      </c>
      <c r="B112">
        <v>2</v>
      </c>
    </row>
    <row r="113" spans="1:2" x14ac:dyDescent="0.2">
      <c r="A113" t="s">
        <v>289</v>
      </c>
      <c r="B113">
        <v>3</v>
      </c>
    </row>
    <row r="114" spans="1:2" x14ac:dyDescent="0.2">
      <c r="A114" t="s">
        <v>290</v>
      </c>
      <c r="B114">
        <v>4</v>
      </c>
    </row>
    <row r="115" spans="1:2" x14ac:dyDescent="0.2">
      <c r="A115" t="s">
        <v>291</v>
      </c>
      <c r="B115">
        <v>5</v>
      </c>
    </row>
    <row r="116" spans="1:2" x14ac:dyDescent="0.2">
      <c r="A116" t="s">
        <v>294</v>
      </c>
      <c r="B116">
        <v>99</v>
      </c>
    </row>
    <row r="121" spans="1:2" x14ac:dyDescent="0.2">
      <c r="A121" t="s">
        <v>295</v>
      </c>
    </row>
    <row r="122" spans="1:2" x14ac:dyDescent="0.2">
      <c r="A122" t="s">
        <v>296</v>
      </c>
      <c r="B122">
        <v>1</v>
      </c>
    </row>
    <row r="123" spans="1:2" x14ac:dyDescent="0.2">
      <c r="A123" t="s">
        <v>297</v>
      </c>
      <c r="B123">
        <v>2</v>
      </c>
    </row>
    <row r="124" spans="1:2" x14ac:dyDescent="0.2">
      <c r="A124" t="s">
        <v>298</v>
      </c>
      <c r="B124">
        <v>3</v>
      </c>
    </row>
    <row r="125" spans="1:2" x14ac:dyDescent="0.2">
      <c r="A125" t="s">
        <v>299</v>
      </c>
      <c r="B125">
        <v>4</v>
      </c>
    </row>
    <row r="126" spans="1:2" x14ac:dyDescent="0.2">
      <c r="A126" t="s">
        <v>300</v>
      </c>
      <c r="B126">
        <v>5</v>
      </c>
    </row>
    <row r="127" spans="1:2" x14ac:dyDescent="0.2">
      <c r="A127" t="s">
        <v>301</v>
      </c>
      <c r="B127">
        <v>6</v>
      </c>
    </row>
    <row r="128" spans="1:2" x14ac:dyDescent="0.2">
      <c r="A128" t="s">
        <v>302</v>
      </c>
      <c r="B128">
        <v>99</v>
      </c>
    </row>
  </sheetData>
  <autoFilter ref="C1:D87" xr:uid="{A43A0A24-3C69-407B-98E7-2D9161063FC3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8C4BA-12AE-467C-99C8-6BA14BBD97BA}">
  <sheetPr codeName="Hoja1"/>
  <dimension ref="A1:L156"/>
  <sheetViews>
    <sheetView topLeftCell="D1" workbookViewId="0">
      <selection activeCell="D3" sqref="D3"/>
    </sheetView>
  </sheetViews>
  <sheetFormatPr defaultColWidth="11" defaultRowHeight="14.25" x14ac:dyDescent="0.2"/>
  <cols>
    <col min="1" max="1" width="20" bestFit="1" customWidth="1"/>
    <col min="3" max="3" width="13.875" bestFit="1" customWidth="1"/>
    <col min="4" max="4" width="39.5" customWidth="1"/>
    <col min="11" max="11" width="14.625" bestFit="1" customWidth="1"/>
  </cols>
  <sheetData>
    <row r="1" spans="1:12" x14ac:dyDescent="0.2">
      <c r="A1" t="s">
        <v>14</v>
      </c>
      <c r="B1" t="s">
        <v>9</v>
      </c>
      <c r="C1" t="s">
        <v>15</v>
      </c>
      <c r="D1" t="s">
        <v>19</v>
      </c>
      <c r="K1" t="s">
        <v>711</v>
      </c>
      <c r="L1" t="s">
        <v>712</v>
      </c>
    </row>
    <row r="2" spans="1:12" x14ac:dyDescent="0.2">
      <c r="A2" t="s">
        <v>410</v>
      </c>
      <c r="B2" t="s">
        <v>327</v>
      </c>
      <c r="C2" t="s">
        <v>328</v>
      </c>
      <c r="D2" t="s">
        <v>329</v>
      </c>
      <c r="E2" t="str">
        <f>IFERROR(LEFT(D2,FIND(" ",D2)),D2)</f>
        <v>Super</v>
      </c>
      <c r="K2" t="s">
        <v>692</v>
      </c>
      <c r="L2" t="s">
        <v>4</v>
      </c>
    </row>
    <row r="3" spans="1:12" x14ac:dyDescent="0.2">
      <c r="A3" t="s">
        <v>330</v>
      </c>
      <c r="B3" t="s">
        <v>331</v>
      </c>
      <c r="C3" t="s">
        <v>332</v>
      </c>
      <c r="D3" t="s">
        <v>333</v>
      </c>
      <c r="E3" t="str">
        <f t="shared" ref="E3:E66" si="0">IFERROR(LEFT(D3,FIND(" ",D3)),D3)</f>
        <v xml:space="preserve">CASADO </v>
      </c>
      <c r="K3" t="s">
        <v>698</v>
      </c>
      <c r="L3" t="s">
        <v>4</v>
      </c>
    </row>
    <row r="4" spans="1:12" x14ac:dyDescent="0.2">
      <c r="A4" t="s">
        <v>378</v>
      </c>
      <c r="B4" t="s">
        <v>331</v>
      </c>
      <c r="C4" t="s">
        <v>332</v>
      </c>
      <c r="D4" t="s">
        <v>379</v>
      </c>
      <c r="E4" t="str">
        <f t="shared" si="0"/>
        <v xml:space="preserve">CASADO </v>
      </c>
      <c r="K4" t="s">
        <v>636</v>
      </c>
      <c r="L4" t="s">
        <v>4</v>
      </c>
    </row>
    <row r="5" spans="1:12" x14ac:dyDescent="0.2">
      <c r="A5" t="s">
        <v>447</v>
      </c>
      <c r="B5" t="s">
        <v>346</v>
      </c>
      <c r="C5" t="s">
        <v>328</v>
      </c>
      <c r="D5" t="s">
        <v>448</v>
      </c>
      <c r="E5" t="str">
        <f t="shared" si="0"/>
        <v xml:space="preserve">GASOLINA </v>
      </c>
      <c r="K5" t="s">
        <v>632</v>
      </c>
      <c r="L5" t="s">
        <v>4</v>
      </c>
    </row>
    <row r="6" spans="1:12" x14ac:dyDescent="0.2">
      <c r="A6" t="s">
        <v>368</v>
      </c>
      <c r="B6" t="s">
        <v>320</v>
      </c>
      <c r="C6" t="s">
        <v>369</v>
      </c>
      <c r="D6" t="s">
        <v>370</v>
      </c>
      <c r="E6" t="str">
        <f t="shared" si="0"/>
        <v xml:space="preserve">Esponja </v>
      </c>
      <c r="K6" t="s">
        <v>637</v>
      </c>
      <c r="L6" t="s">
        <v>4</v>
      </c>
    </row>
    <row r="7" spans="1:12" x14ac:dyDescent="0.2">
      <c r="A7" t="s">
        <v>374</v>
      </c>
      <c r="B7" t="s">
        <v>338</v>
      </c>
      <c r="C7" t="s">
        <v>328</v>
      </c>
      <c r="D7" t="s">
        <v>375</v>
      </c>
      <c r="E7" t="str">
        <f t="shared" si="0"/>
        <v xml:space="preserve">Super </v>
      </c>
      <c r="K7" t="s">
        <v>633</v>
      </c>
      <c r="L7" t="s">
        <v>4</v>
      </c>
    </row>
    <row r="8" spans="1:12" x14ac:dyDescent="0.2">
      <c r="A8" t="s">
        <v>376</v>
      </c>
      <c r="B8" t="s">
        <v>339</v>
      </c>
      <c r="C8" t="s">
        <v>328</v>
      </c>
      <c r="D8" t="s">
        <v>377</v>
      </c>
      <c r="E8" t="str">
        <f t="shared" si="0"/>
        <v xml:space="preserve">Super </v>
      </c>
      <c r="K8" t="s">
        <v>640</v>
      </c>
      <c r="L8" t="s">
        <v>4</v>
      </c>
    </row>
    <row r="9" spans="1:12" x14ac:dyDescent="0.2">
      <c r="A9" t="s">
        <v>557</v>
      </c>
      <c r="B9" t="s">
        <v>354</v>
      </c>
      <c r="C9" t="s">
        <v>560</v>
      </c>
      <c r="D9" t="s">
        <v>561</v>
      </c>
      <c r="E9" t="str">
        <f t="shared" si="0"/>
        <v xml:space="preserve">334911,Jet </v>
      </c>
      <c r="K9" t="s">
        <v>639</v>
      </c>
      <c r="L9" t="s">
        <v>4</v>
      </c>
    </row>
    <row r="10" spans="1:12" x14ac:dyDescent="0.2">
      <c r="A10" t="s">
        <v>556</v>
      </c>
      <c r="B10" t="s">
        <v>354</v>
      </c>
      <c r="C10" t="s">
        <v>551</v>
      </c>
      <c r="D10" t="s">
        <v>552</v>
      </c>
      <c r="E10" t="str">
        <f t="shared" si="0"/>
        <v xml:space="preserve">418793 </v>
      </c>
      <c r="K10" t="s">
        <v>660</v>
      </c>
      <c r="L10" t="s">
        <v>4</v>
      </c>
    </row>
    <row r="11" spans="1:12" x14ac:dyDescent="0.2">
      <c r="A11" t="s">
        <v>473</v>
      </c>
      <c r="B11" t="s">
        <v>348</v>
      </c>
      <c r="C11" t="s">
        <v>328</v>
      </c>
      <c r="D11" t="s">
        <v>474</v>
      </c>
      <c r="E11" t="str">
        <f t="shared" si="0"/>
        <v xml:space="preserve">Super </v>
      </c>
      <c r="K11" t="s">
        <v>670</v>
      </c>
      <c r="L11" t="s">
        <v>713</v>
      </c>
    </row>
    <row r="12" spans="1:12" x14ac:dyDescent="0.2">
      <c r="A12" t="s">
        <v>475</v>
      </c>
      <c r="B12" t="s">
        <v>348</v>
      </c>
      <c r="C12" t="s">
        <v>328</v>
      </c>
      <c r="D12" t="s">
        <v>476</v>
      </c>
      <c r="E12" t="str">
        <f t="shared" si="0"/>
        <v xml:space="preserve">Super </v>
      </c>
      <c r="K12" t="s">
        <v>690</v>
      </c>
      <c r="L12" t="s">
        <v>713</v>
      </c>
    </row>
    <row r="13" spans="1:12" x14ac:dyDescent="0.2">
      <c r="A13" t="s">
        <v>363</v>
      </c>
      <c r="B13" t="s">
        <v>320</v>
      </c>
      <c r="C13" t="s">
        <v>366</v>
      </c>
      <c r="D13" t="s">
        <v>367</v>
      </c>
      <c r="E13" t="str">
        <f t="shared" si="0"/>
        <v xml:space="preserve">Palillos </v>
      </c>
      <c r="K13" t="s">
        <v>666</v>
      </c>
      <c r="L13" t="s">
        <v>713</v>
      </c>
    </row>
    <row r="14" spans="1:12" x14ac:dyDescent="0.2">
      <c r="A14" t="s">
        <v>607</v>
      </c>
      <c r="B14" t="s">
        <v>358</v>
      </c>
      <c r="C14" t="s">
        <v>605</v>
      </c>
      <c r="D14" t="s">
        <v>608</v>
      </c>
      <c r="E14" t="str">
        <f t="shared" si="0"/>
        <v xml:space="preserve">BOLSA </v>
      </c>
      <c r="K14" t="s">
        <v>648</v>
      </c>
      <c r="L14" t="s">
        <v>713</v>
      </c>
    </row>
    <row r="15" spans="1:12" x14ac:dyDescent="0.2">
      <c r="A15" t="s">
        <v>557</v>
      </c>
      <c r="B15" t="s">
        <v>354</v>
      </c>
      <c r="C15" t="s">
        <v>416</v>
      </c>
      <c r="D15" t="s">
        <v>559</v>
      </c>
      <c r="E15" t="str">
        <f t="shared" si="0"/>
        <v xml:space="preserve">152519 </v>
      </c>
      <c r="K15" t="s">
        <v>671</v>
      </c>
      <c r="L15" t="s">
        <v>713</v>
      </c>
    </row>
    <row r="16" spans="1:12" x14ac:dyDescent="0.2">
      <c r="A16" t="s">
        <v>604</v>
      </c>
      <c r="B16" t="s">
        <v>358</v>
      </c>
      <c r="C16" t="s">
        <v>605</v>
      </c>
      <c r="D16" t="s">
        <v>606</v>
      </c>
      <c r="E16" t="str">
        <f t="shared" si="0"/>
        <v xml:space="preserve">BOLSA </v>
      </c>
      <c r="K16" t="s">
        <v>691</v>
      </c>
      <c r="L16" t="s">
        <v>713</v>
      </c>
    </row>
    <row r="17" spans="1:11" x14ac:dyDescent="0.2">
      <c r="A17" t="s">
        <v>553</v>
      </c>
      <c r="B17" t="s">
        <v>354</v>
      </c>
      <c r="C17" t="s">
        <v>554</v>
      </c>
      <c r="D17" t="s">
        <v>555</v>
      </c>
      <c r="E17" t="str">
        <f t="shared" si="0"/>
        <v xml:space="preserve">414332 </v>
      </c>
      <c r="K17" t="s">
        <v>695</v>
      </c>
    </row>
    <row r="18" spans="1:11" x14ac:dyDescent="0.2">
      <c r="A18" t="s">
        <v>363</v>
      </c>
      <c r="B18" t="s">
        <v>320</v>
      </c>
      <c r="C18" t="s">
        <v>364</v>
      </c>
      <c r="D18" t="s">
        <v>365</v>
      </c>
      <c r="E18" t="str">
        <f t="shared" si="0"/>
        <v xml:space="preserve">PAJILLAS </v>
      </c>
      <c r="K18" t="s">
        <v>687</v>
      </c>
    </row>
    <row r="19" spans="1:11" x14ac:dyDescent="0.2">
      <c r="A19" t="s">
        <v>607</v>
      </c>
      <c r="B19" t="s">
        <v>358</v>
      </c>
      <c r="C19" t="s">
        <v>605</v>
      </c>
      <c r="D19" t="s">
        <v>609</v>
      </c>
      <c r="E19" t="str">
        <f t="shared" si="0"/>
        <v xml:space="preserve">BOLSA </v>
      </c>
      <c r="K19" t="s">
        <v>635</v>
      </c>
    </row>
    <row r="20" spans="1:11" x14ac:dyDescent="0.2">
      <c r="A20" t="s">
        <v>607</v>
      </c>
      <c r="B20" t="s">
        <v>358</v>
      </c>
      <c r="C20" t="s">
        <v>605</v>
      </c>
      <c r="D20" t="s">
        <v>610</v>
      </c>
      <c r="E20" t="str">
        <f t="shared" si="0"/>
        <v xml:space="preserve">BOLSA </v>
      </c>
      <c r="K20" t="s">
        <v>656</v>
      </c>
    </row>
    <row r="21" spans="1:11" x14ac:dyDescent="0.2">
      <c r="A21" t="s">
        <v>557</v>
      </c>
      <c r="B21" t="s">
        <v>354</v>
      </c>
      <c r="C21" t="s">
        <v>369</v>
      </c>
      <c r="D21" t="s">
        <v>558</v>
      </c>
      <c r="E21" t="str">
        <f t="shared" si="0"/>
        <v xml:space="preserve">84577 </v>
      </c>
      <c r="K21" t="s">
        <v>701</v>
      </c>
    </row>
    <row r="22" spans="1:11" x14ac:dyDescent="0.2">
      <c r="A22" t="s">
        <v>562</v>
      </c>
      <c r="B22" t="s">
        <v>354</v>
      </c>
      <c r="C22" t="s">
        <v>563</v>
      </c>
      <c r="D22" t="s">
        <v>564</v>
      </c>
      <c r="E22" t="str">
        <f t="shared" si="0"/>
        <v xml:space="preserve">815600 </v>
      </c>
      <c r="K22" t="s">
        <v>645</v>
      </c>
    </row>
    <row r="23" spans="1:11" x14ac:dyDescent="0.2">
      <c r="A23" t="s">
        <v>360</v>
      </c>
      <c r="B23" t="s">
        <v>337</v>
      </c>
      <c r="C23" t="s">
        <v>361</v>
      </c>
      <c r="D23" t="s">
        <v>362</v>
      </c>
      <c r="E23" t="str">
        <f t="shared" si="0"/>
        <v xml:space="preserve">Mensual </v>
      </c>
      <c r="K23" t="s">
        <v>628</v>
      </c>
    </row>
    <row r="24" spans="1:11" x14ac:dyDescent="0.2">
      <c r="A24" t="s">
        <v>487</v>
      </c>
      <c r="B24" t="s">
        <v>349</v>
      </c>
      <c r="C24" t="s">
        <v>492</v>
      </c>
      <c r="D24" t="s">
        <v>497</v>
      </c>
      <c r="E24" t="str">
        <f t="shared" si="0"/>
        <v xml:space="preserve">PALETA </v>
      </c>
      <c r="K24" t="s">
        <v>659</v>
      </c>
    </row>
    <row r="25" spans="1:11" x14ac:dyDescent="0.2">
      <c r="A25" t="s">
        <v>570</v>
      </c>
      <c r="B25" t="s">
        <v>355</v>
      </c>
      <c r="C25" t="s">
        <v>565</v>
      </c>
      <c r="D25" t="s">
        <v>567</v>
      </c>
      <c r="E25" t="str">
        <f t="shared" si="0"/>
        <v xml:space="preserve">ROMA </v>
      </c>
      <c r="K25" t="s">
        <v>694</v>
      </c>
    </row>
    <row r="26" spans="1:11" x14ac:dyDescent="0.2">
      <c r="A26" t="s">
        <v>319</v>
      </c>
      <c r="B26" t="s">
        <v>320</v>
      </c>
      <c r="C26" t="s">
        <v>325</v>
      </c>
      <c r="D26" t="s">
        <v>326</v>
      </c>
      <c r="E26" t="str">
        <f t="shared" si="0"/>
        <v xml:space="preserve">Papel </v>
      </c>
      <c r="K26" t="s">
        <v>672</v>
      </c>
    </row>
    <row r="27" spans="1:11" x14ac:dyDescent="0.2">
      <c r="A27" t="s">
        <v>396</v>
      </c>
      <c r="B27" t="s">
        <v>341</v>
      </c>
      <c r="C27" t="s">
        <v>397</v>
      </c>
      <c r="D27" t="s">
        <v>398</v>
      </c>
      <c r="E27" t="str">
        <f t="shared" si="0"/>
        <v xml:space="preserve">CAFE </v>
      </c>
      <c r="K27" t="s">
        <v>664</v>
      </c>
    </row>
    <row r="28" spans="1:11" x14ac:dyDescent="0.2">
      <c r="A28" t="s">
        <v>570</v>
      </c>
      <c r="B28" t="s">
        <v>355</v>
      </c>
      <c r="C28" t="s">
        <v>565</v>
      </c>
      <c r="D28" t="s">
        <v>571</v>
      </c>
      <c r="E28" t="str">
        <f t="shared" si="0"/>
        <v xml:space="preserve">ROMA </v>
      </c>
      <c r="K28" t="s">
        <v>679</v>
      </c>
    </row>
    <row r="29" spans="1:11" x14ac:dyDescent="0.2">
      <c r="A29" t="s">
        <v>586</v>
      </c>
      <c r="B29" t="s">
        <v>355</v>
      </c>
      <c r="C29" t="s">
        <v>565</v>
      </c>
      <c r="D29" t="s">
        <v>589</v>
      </c>
      <c r="E29" t="str">
        <f t="shared" si="0"/>
        <v xml:space="preserve">LUCEMA </v>
      </c>
      <c r="K29" t="s">
        <v>657</v>
      </c>
    </row>
    <row r="30" spans="1:11" x14ac:dyDescent="0.2">
      <c r="A30" t="s">
        <v>487</v>
      </c>
      <c r="B30" t="s">
        <v>349</v>
      </c>
      <c r="C30" t="s">
        <v>490</v>
      </c>
      <c r="D30" t="s">
        <v>491</v>
      </c>
      <c r="E30" t="str">
        <f t="shared" si="0"/>
        <v xml:space="preserve">CURITAS </v>
      </c>
      <c r="K30" t="s">
        <v>682</v>
      </c>
    </row>
    <row r="31" spans="1:11" x14ac:dyDescent="0.2">
      <c r="A31" t="s">
        <v>570</v>
      </c>
      <c r="B31" t="s">
        <v>355</v>
      </c>
      <c r="C31" t="s">
        <v>565</v>
      </c>
      <c r="D31" t="s">
        <v>573</v>
      </c>
      <c r="E31" t="str">
        <f t="shared" si="0"/>
        <v xml:space="preserve">LUCEMA </v>
      </c>
      <c r="K31" t="s">
        <v>663</v>
      </c>
    </row>
    <row r="32" spans="1:11" x14ac:dyDescent="0.2">
      <c r="A32" t="s">
        <v>390</v>
      </c>
      <c r="B32" t="s">
        <v>341</v>
      </c>
      <c r="C32" t="s">
        <v>384</v>
      </c>
      <c r="D32" t="s">
        <v>391</v>
      </c>
      <c r="E32" t="str">
        <f t="shared" si="0"/>
        <v xml:space="preserve">ARROZ </v>
      </c>
      <c r="K32" t="s">
        <v>647</v>
      </c>
    </row>
    <row r="33" spans="1:11" x14ac:dyDescent="0.2">
      <c r="A33" t="s">
        <v>570</v>
      </c>
      <c r="B33" t="s">
        <v>355</v>
      </c>
      <c r="C33" t="s">
        <v>565</v>
      </c>
      <c r="D33" t="s">
        <v>572</v>
      </c>
      <c r="E33" t="str">
        <f t="shared" si="0"/>
        <v xml:space="preserve">ROMA </v>
      </c>
      <c r="K33" t="s">
        <v>693</v>
      </c>
    </row>
    <row r="34" spans="1:11" x14ac:dyDescent="0.2">
      <c r="B34" t="s">
        <v>342</v>
      </c>
      <c r="C34" t="s">
        <v>403</v>
      </c>
      <c r="D34" t="s">
        <v>405</v>
      </c>
      <c r="E34" t="str">
        <f t="shared" si="0"/>
        <v xml:space="preserve">Q.CREMA </v>
      </c>
      <c r="K34" t="s">
        <v>689</v>
      </c>
    </row>
    <row r="35" spans="1:11" x14ac:dyDescent="0.2">
      <c r="B35" t="s">
        <v>342</v>
      </c>
      <c r="C35" t="s">
        <v>406</v>
      </c>
      <c r="D35" t="s">
        <v>407</v>
      </c>
      <c r="E35" t="str">
        <f t="shared" si="0"/>
        <v xml:space="preserve">LACTOCREMA </v>
      </c>
      <c r="K35" t="s">
        <v>630</v>
      </c>
    </row>
    <row r="36" spans="1:11" x14ac:dyDescent="0.2">
      <c r="B36" t="s">
        <v>353</v>
      </c>
      <c r="C36" t="s">
        <v>537</v>
      </c>
      <c r="D36" t="s">
        <v>540</v>
      </c>
      <c r="E36" t="str">
        <f t="shared" si="0"/>
        <v xml:space="preserve">RTD </v>
      </c>
      <c r="K36" t="s">
        <v>662</v>
      </c>
    </row>
    <row r="37" spans="1:11" x14ac:dyDescent="0.2">
      <c r="A37" t="s">
        <v>586</v>
      </c>
      <c r="B37" t="s">
        <v>355</v>
      </c>
      <c r="C37" t="s">
        <v>565</v>
      </c>
      <c r="D37" t="s">
        <v>581</v>
      </c>
      <c r="E37" t="str">
        <f t="shared" si="0"/>
        <v xml:space="preserve">LUCEMA </v>
      </c>
      <c r="K37" t="s">
        <v>665</v>
      </c>
    </row>
    <row r="38" spans="1:11" x14ac:dyDescent="0.2">
      <c r="A38" t="s">
        <v>570</v>
      </c>
      <c r="B38" t="s">
        <v>355</v>
      </c>
      <c r="C38" t="s">
        <v>565</v>
      </c>
      <c r="D38" t="s">
        <v>566</v>
      </c>
      <c r="E38" t="str">
        <f t="shared" si="0"/>
        <v xml:space="preserve">ROMA </v>
      </c>
      <c r="K38" t="s">
        <v>629</v>
      </c>
    </row>
    <row r="39" spans="1:11" x14ac:dyDescent="0.2">
      <c r="B39" t="s">
        <v>342</v>
      </c>
      <c r="C39" t="s">
        <v>401</v>
      </c>
      <c r="D39" t="s">
        <v>402</v>
      </c>
      <c r="E39" t="str">
        <f t="shared" si="0"/>
        <v xml:space="preserve">HEL </v>
      </c>
      <c r="K39" t="s">
        <v>673</v>
      </c>
    </row>
    <row r="40" spans="1:11" x14ac:dyDescent="0.2">
      <c r="B40" t="s">
        <v>342</v>
      </c>
      <c r="C40" t="s">
        <v>403</v>
      </c>
      <c r="D40" t="s">
        <v>404</v>
      </c>
      <c r="E40" t="str">
        <f t="shared" si="0"/>
        <v xml:space="preserve">QUESO </v>
      </c>
      <c r="K40" t="s">
        <v>674</v>
      </c>
    </row>
    <row r="41" spans="1:11" x14ac:dyDescent="0.2">
      <c r="B41" t="s">
        <v>342</v>
      </c>
      <c r="C41" t="s">
        <v>408</v>
      </c>
      <c r="D41" t="s">
        <v>409</v>
      </c>
      <c r="E41" t="str">
        <f t="shared" si="0"/>
        <v xml:space="preserve">NAT. </v>
      </c>
      <c r="K41" t="s">
        <v>704</v>
      </c>
    </row>
    <row r="42" spans="1:11" x14ac:dyDescent="0.2">
      <c r="A42" t="s">
        <v>420</v>
      </c>
      <c r="B42" t="s">
        <v>344</v>
      </c>
      <c r="C42" t="s">
        <v>421</v>
      </c>
      <c r="D42" t="s">
        <v>422</v>
      </c>
      <c r="E42" t="str">
        <f t="shared" si="0"/>
        <v xml:space="preserve">SANI </v>
      </c>
      <c r="K42" t="s">
        <v>652</v>
      </c>
    </row>
    <row r="43" spans="1:11" x14ac:dyDescent="0.2">
      <c r="A43" t="s">
        <v>368</v>
      </c>
      <c r="B43" t="s">
        <v>320</v>
      </c>
      <c r="C43" t="s">
        <v>371</v>
      </c>
      <c r="D43" t="s">
        <v>372</v>
      </c>
      <c r="E43" t="str">
        <f t="shared" si="0"/>
        <v xml:space="preserve">Bolsas </v>
      </c>
      <c r="K43" t="s">
        <v>700</v>
      </c>
    </row>
    <row r="44" spans="1:11" x14ac:dyDescent="0.2">
      <c r="A44" t="s">
        <v>319</v>
      </c>
      <c r="B44" t="s">
        <v>320</v>
      </c>
      <c r="C44" t="s">
        <v>323</v>
      </c>
      <c r="D44" t="s">
        <v>324</v>
      </c>
      <c r="E44" t="str">
        <f t="shared" si="0"/>
        <v xml:space="preserve">Crema </v>
      </c>
      <c r="K44" t="s">
        <v>650</v>
      </c>
    </row>
    <row r="45" spans="1:11" x14ac:dyDescent="0.2">
      <c r="A45" t="s">
        <v>368</v>
      </c>
      <c r="B45" t="s">
        <v>320</v>
      </c>
      <c r="C45" t="s">
        <v>371</v>
      </c>
      <c r="D45" t="s">
        <v>373</v>
      </c>
      <c r="E45" t="str">
        <f t="shared" si="0"/>
        <v xml:space="preserve">Bolsas </v>
      </c>
      <c r="K45" t="s">
        <v>661</v>
      </c>
    </row>
    <row r="46" spans="1:11" x14ac:dyDescent="0.2">
      <c r="B46" t="s">
        <v>353</v>
      </c>
      <c r="C46" t="s">
        <v>545</v>
      </c>
      <c r="D46" t="s">
        <v>546</v>
      </c>
      <c r="E46" t="str">
        <f t="shared" si="0"/>
        <v xml:space="preserve">TORT </v>
      </c>
      <c r="K46" t="s">
        <v>696</v>
      </c>
    </row>
    <row r="47" spans="1:11" x14ac:dyDescent="0.2">
      <c r="A47" t="s">
        <v>594</v>
      </c>
      <c r="B47" t="s">
        <v>356</v>
      </c>
      <c r="C47" t="s">
        <v>596</v>
      </c>
      <c r="D47" t="s">
        <v>597</v>
      </c>
      <c r="E47" t="str">
        <f t="shared" si="0"/>
        <v xml:space="preserve">CB1 </v>
      </c>
      <c r="K47" t="s">
        <v>646</v>
      </c>
    </row>
    <row r="48" spans="1:11" x14ac:dyDescent="0.2">
      <c r="A48" t="s">
        <v>598</v>
      </c>
      <c r="B48" t="s">
        <v>356</v>
      </c>
      <c r="C48" t="s">
        <v>599</v>
      </c>
      <c r="D48" t="s">
        <v>600</v>
      </c>
      <c r="E48" t="str">
        <f t="shared" si="0"/>
        <v xml:space="preserve">A9 </v>
      </c>
      <c r="K48" t="s">
        <v>669</v>
      </c>
    </row>
    <row r="49" spans="1:11" x14ac:dyDescent="0.2">
      <c r="A49" t="s">
        <v>586</v>
      </c>
      <c r="B49" t="s">
        <v>355</v>
      </c>
      <c r="C49" t="s">
        <v>587</v>
      </c>
      <c r="D49" t="s">
        <v>588</v>
      </c>
      <c r="E49" t="str">
        <f t="shared" si="0"/>
        <v xml:space="preserve">ROMA </v>
      </c>
      <c r="K49" t="s">
        <v>677</v>
      </c>
    </row>
    <row r="50" spans="1:11" x14ac:dyDescent="0.2">
      <c r="A50" t="s">
        <v>319</v>
      </c>
      <c r="B50" t="s">
        <v>320</v>
      </c>
      <c r="C50" t="s">
        <v>321</v>
      </c>
      <c r="D50" t="s">
        <v>322</v>
      </c>
      <c r="E50" t="str">
        <f t="shared" si="0"/>
        <v xml:space="preserve">Leche </v>
      </c>
      <c r="K50" t="s">
        <v>676</v>
      </c>
    </row>
    <row r="51" spans="1:11" x14ac:dyDescent="0.2">
      <c r="A51" t="s">
        <v>601</v>
      </c>
      <c r="B51" t="s">
        <v>357</v>
      </c>
      <c r="C51" t="s">
        <v>602</v>
      </c>
      <c r="D51" t="s">
        <v>603</v>
      </c>
      <c r="E51" t="str">
        <f t="shared" si="0"/>
        <v xml:space="preserve">FRIJOL </v>
      </c>
      <c r="K51" t="s">
        <v>641</v>
      </c>
    </row>
    <row r="52" spans="1:11" x14ac:dyDescent="0.2">
      <c r="A52" t="s">
        <v>444</v>
      </c>
      <c r="B52" t="s">
        <v>345</v>
      </c>
      <c r="C52" t="s">
        <v>439</v>
      </c>
      <c r="D52" t="s">
        <v>445</v>
      </c>
      <c r="E52" t="str">
        <f t="shared" si="0"/>
        <v xml:space="preserve">Cuchara </v>
      </c>
      <c r="K52" t="s">
        <v>705</v>
      </c>
    </row>
    <row r="53" spans="1:11" x14ac:dyDescent="0.2">
      <c r="A53" t="s">
        <v>611</v>
      </c>
      <c r="B53" t="s">
        <v>359</v>
      </c>
      <c r="C53" t="s">
        <v>612</v>
      </c>
      <c r="D53" t="s">
        <v>613</v>
      </c>
      <c r="E53" t="str">
        <f t="shared" si="0"/>
        <v xml:space="preserve">Cloro </v>
      </c>
      <c r="K53" t="s">
        <v>708</v>
      </c>
    </row>
    <row r="54" spans="1:11" x14ac:dyDescent="0.2">
      <c r="A54" t="s">
        <v>611</v>
      </c>
      <c r="B54" t="s">
        <v>359</v>
      </c>
      <c r="C54" t="s">
        <v>612</v>
      </c>
      <c r="D54" t="s">
        <v>615</v>
      </c>
      <c r="E54" t="str">
        <f t="shared" si="0"/>
        <v xml:space="preserve">Cloro </v>
      </c>
      <c r="K54" t="s">
        <v>709</v>
      </c>
    </row>
    <row r="55" spans="1:11" x14ac:dyDescent="0.2">
      <c r="A55" t="s">
        <v>611</v>
      </c>
      <c r="B55" t="s">
        <v>359</v>
      </c>
      <c r="C55" t="s">
        <v>626</v>
      </c>
      <c r="D55" t="s">
        <v>627</v>
      </c>
      <c r="E55" t="str">
        <f t="shared" si="0"/>
        <v xml:space="preserve">Gancho </v>
      </c>
      <c r="K55" t="s">
        <v>710</v>
      </c>
    </row>
    <row r="56" spans="1:11" x14ac:dyDescent="0.2">
      <c r="A56" t="s">
        <v>415</v>
      </c>
      <c r="B56" t="s">
        <v>344</v>
      </c>
      <c r="C56" t="s">
        <v>416</v>
      </c>
      <c r="D56" t="s">
        <v>417</v>
      </c>
      <c r="E56" t="str">
        <f t="shared" si="0"/>
        <v xml:space="preserve">ACHIOTICO </v>
      </c>
      <c r="K56" t="s">
        <v>707</v>
      </c>
    </row>
    <row r="57" spans="1:11" x14ac:dyDescent="0.2">
      <c r="A57" t="s">
        <v>431</v>
      </c>
      <c r="B57" t="s">
        <v>303</v>
      </c>
      <c r="C57" t="s">
        <v>388</v>
      </c>
      <c r="D57" t="s">
        <v>432</v>
      </c>
      <c r="E57" t="str">
        <f t="shared" si="0"/>
        <v xml:space="preserve">SALSA </v>
      </c>
      <c r="K57" t="s">
        <v>706</v>
      </c>
    </row>
    <row r="58" spans="1:11" x14ac:dyDescent="0.2">
      <c r="A58" t="s">
        <v>487</v>
      </c>
      <c r="B58" t="s">
        <v>349</v>
      </c>
      <c r="C58" t="s">
        <v>495</v>
      </c>
      <c r="D58" t="s">
        <v>496</v>
      </c>
      <c r="E58" t="str">
        <f t="shared" si="0"/>
        <v xml:space="preserve">TANG </v>
      </c>
      <c r="K58" t="s">
        <v>654</v>
      </c>
    </row>
    <row r="59" spans="1:11" x14ac:dyDescent="0.2">
      <c r="A59" t="s">
        <v>396</v>
      </c>
      <c r="B59" t="s">
        <v>341</v>
      </c>
      <c r="C59" t="s">
        <v>399</v>
      </c>
      <c r="D59" t="s">
        <v>400</v>
      </c>
      <c r="E59" t="str">
        <f t="shared" si="0"/>
        <v xml:space="preserve">MAIZ </v>
      </c>
      <c r="K59" t="s">
        <v>680</v>
      </c>
    </row>
    <row r="60" spans="1:11" x14ac:dyDescent="0.2">
      <c r="B60" t="s">
        <v>353</v>
      </c>
      <c r="C60" t="s">
        <v>547</v>
      </c>
      <c r="D60" t="s">
        <v>548</v>
      </c>
      <c r="E60" t="str">
        <f t="shared" si="0"/>
        <v xml:space="preserve">TORT </v>
      </c>
      <c r="K60" t="s">
        <v>638</v>
      </c>
    </row>
    <row r="61" spans="1:11" x14ac:dyDescent="0.2">
      <c r="A61" t="s">
        <v>334</v>
      </c>
      <c r="B61" t="s">
        <v>307</v>
      </c>
      <c r="C61" t="s">
        <v>311</v>
      </c>
      <c r="D61" t="s">
        <v>312</v>
      </c>
      <c r="E61" t="str">
        <f t="shared" si="0"/>
        <v xml:space="preserve">ACEITE </v>
      </c>
      <c r="K61" t="s">
        <v>642</v>
      </c>
    </row>
    <row r="62" spans="1:11" x14ac:dyDescent="0.2">
      <c r="A62" t="s">
        <v>611</v>
      </c>
      <c r="B62" t="s">
        <v>359</v>
      </c>
      <c r="C62" t="s">
        <v>612</v>
      </c>
      <c r="D62" t="s">
        <v>614</v>
      </c>
      <c r="E62" t="str">
        <f t="shared" si="0"/>
        <v xml:space="preserve">Cloro </v>
      </c>
      <c r="K62" t="s">
        <v>634</v>
      </c>
    </row>
    <row r="63" spans="1:11" x14ac:dyDescent="0.2">
      <c r="A63" t="s">
        <v>583</v>
      </c>
      <c r="B63" t="s">
        <v>355</v>
      </c>
      <c r="C63" t="s">
        <v>584</v>
      </c>
      <c r="D63" t="s">
        <v>585</v>
      </c>
      <c r="E63" t="str">
        <f t="shared" si="0"/>
        <v xml:space="preserve">ROMA </v>
      </c>
      <c r="K63" t="s">
        <v>697</v>
      </c>
    </row>
    <row r="64" spans="1:11" x14ac:dyDescent="0.2">
      <c r="A64" t="s">
        <v>509</v>
      </c>
      <c r="B64" t="s">
        <v>351</v>
      </c>
      <c r="C64" t="s">
        <v>386</v>
      </c>
      <c r="D64" t="s">
        <v>510</v>
      </c>
      <c r="E64" t="str">
        <f t="shared" si="0"/>
        <v xml:space="preserve">AZUCAR </v>
      </c>
      <c r="K64" t="s">
        <v>686</v>
      </c>
    </row>
    <row r="65" spans="1:11" x14ac:dyDescent="0.2">
      <c r="A65" t="s">
        <v>511</v>
      </c>
      <c r="B65" t="s">
        <v>351</v>
      </c>
      <c r="C65" t="s">
        <v>386</v>
      </c>
      <c r="D65" t="s">
        <v>512</v>
      </c>
      <c r="E65" t="str">
        <f t="shared" si="0"/>
        <v xml:space="preserve">AZUCAR </v>
      </c>
      <c r="K65" t="s">
        <v>685</v>
      </c>
    </row>
    <row r="66" spans="1:11" x14ac:dyDescent="0.2">
      <c r="A66" t="s">
        <v>487</v>
      </c>
      <c r="B66" t="s">
        <v>349</v>
      </c>
      <c r="C66" t="s">
        <v>488</v>
      </c>
      <c r="D66" t="s">
        <v>489</v>
      </c>
      <c r="E66" t="str">
        <f t="shared" si="0"/>
        <v xml:space="preserve">CHICLE </v>
      </c>
      <c r="K66" t="s">
        <v>675</v>
      </c>
    </row>
    <row r="67" spans="1:11" x14ac:dyDescent="0.2">
      <c r="A67" t="s">
        <v>578</v>
      </c>
      <c r="B67" t="s">
        <v>355</v>
      </c>
      <c r="C67" t="s">
        <v>565</v>
      </c>
      <c r="D67" t="s">
        <v>582</v>
      </c>
      <c r="E67" t="str">
        <f t="shared" ref="E67:E130" si="1">IFERROR(LEFT(D67,FIND(" ",D67)),D67)</f>
        <v xml:space="preserve">LUCEMA </v>
      </c>
      <c r="K67" t="s">
        <v>644</v>
      </c>
    </row>
    <row r="68" spans="1:11" x14ac:dyDescent="0.2">
      <c r="A68" t="s">
        <v>380</v>
      </c>
      <c r="B68" t="s">
        <v>340</v>
      </c>
      <c r="C68" t="s">
        <v>381</v>
      </c>
      <c r="D68" t="s">
        <v>382</v>
      </c>
      <c r="E68" t="str">
        <f t="shared" si="1"/>
        <v xml:space="preserve">GDC </v>
      </c>
      <c r="K68" t="s">
        <v>683</v>
      </c>
    </row>
    <row r="69" spans="1:11" x14ac:dyDescent="0.2">
      <c r="A69" t="s">
        <v>527</v>
      </c>
      <c r="B69" t="s">
        <v>352</v>
      </c>
      <c r="C69" t="s">
        <v>384</v>
      </c>
      <c r="D69" t="s">
        <v>528</v>
      </c>
      <c r="E69" t="str">
        <f t="shared" si="1"/>
        <v xml:space="preserve">ARROZ </v>
      </c>
      <c r="K69" t="s">
        <v>649</v>
      </c>
    </row>
    <row r="70" spans="1:11" x14ac:dyDescent="0.2">
      <c r="A70" t="s">
        <v>423</v>
      </c>
      <c r="B70" t="s">
        <v>344</v>
      </c>
      <c r="C70" t="s">
        <v>416</v>
      </c>
      <c r="D70" t="s">
        <v>424</v>
      </c>
      <c r="E70" t="str">
        <f t="shared" si="1"/>
        <v xml:space="preserve">ACHIOTICO </v>
      </c>
      <c r="K70" t="s">
        <v>653</v>
      </c>
    </row>
    <row r="71" spans="1:11" x14ac:dyDescent="0.2">
      <c r="A71" t="s">
        <v>487</v>
      </c>
      <c r="B71" t="s">
        <v>349</v>
      </c>
      <c r="C71" t="s">
        <v>492</v>
      </c>
      <c r="D71" t="s">
        <v>493</v>
      </c>
      <c r="E71" t="str">
        <f t="shared" si="1"/>
        <v xml:space="preserve">HALLS </v>
      </c>
      <c r="K71" t="s">
        <v>643</v>
      </c>
    </row>
    <row r="72" spans="1:11" x14ac:dyDescent="0.2">
      <c r="A72" t="s">
        <v>487</v>
      </c>
      <c r="B72" t="s">
        <v>349</v>
      </c>
      <c r="C72" t="s">
        <v>304</v>
      </c>
      <c r="D72" t="s">
        <v>494</v>
      </c>
      <c r="E72" t="str">
        <f t="shared" si="1"/>
        <v xml:space="preserve">PAPAS </v>
      </c>
      <c r="K72" t="s">
        <v>651</v>
      </c>
    </row>
    <row r="73" spans="1:11" x14ac:dyDescent="0.2">
      <c r="A73" t="s">
        <v>487</v>
      </c>
      <c r="B73" t="s">
        <v>349</v>
      </c>
      <c r="C73" t="s">
        <v>399</v>
      </c>
      <c r="D73" t="s">
        <v>498</v>
      </c>
      <c r="E73" t="str">
        <f t="shared" si="1"/>
        <v xml:space="preserve">MAIZ </v>
      </c>
      <c r="K73" t="s">
        <v>681</v>
      </c>
    </row>
    <row r="74" spans="1:11" x14ac:dyDescent="0.2">
      <c r="A74" t="s">
        <v>583</v>
      </c>
      <c r="B74" t="s">
        <v>355</v>
      </c>
      <c r="C74" t="s">
        <v>565</v>
      </c>
      <c r="D74" t="s">
        <v>580</v>
      </c>
      <c r="E74" t="str">
        <f t="shared" si="1"/>
        <v xml:space="preserve">ROMA </v>
      </c>
      <c r="K74" t="s">
        <v>684</v>
      </c>
    </row>
    <row r="75" spans="1:11" x14ac:dyDescent="0.2">
      <c r="A75" t="s">
        <v>433</v>
      </c>
      <c r="B75" t="s">
        <v>345</v>
      </c>
      <c r="C75" t="s">
        <v>434</v>
      </c>
      <c r="D75" t="s">
        <v>435</v>
      </c>
      <c r="E75" t="str">
        <f t="shared" si="1"/>
        <v xml:space="preserve">Bolsas </v>
      </c>
      <c r="K75" t="s">
        <v>667</v>
      </c>
    </row>
    <row r="76" spans="1:11" x14ac:dyDescent="0.2">
      <c r="A76" t="s">
        <v>454</v>
      </c>
      <c r="B76" t="s">
        <v>307</v>
      </c>
      <c r="C76" t="s">
        <v>451</v>
      </c>
      <c r="D76" t="s">
        <v>455</v>
      </c>
      <c r="E76" t="str">
        <f t="shared" si="1"/>
        <v xml:space="preserve">MARGARINA </v>
      </c>
      <c r="K76" t="s">
        <v>655</v>
      </c>
    </row>
    <row r="77" spans="1:11" x14ac:dyDescent="0.2">
      <c r="A77" t="s">
        <v>306</v>
      </c>
      <c r="B77" t="s">
        <v>307</v>
      </c>
      <c r="C77" t="s">
        <v>313</v>
      </c>
      <c r="D77" t="s">
        <v>314</v>
      </c>
      <c r="E77" t="str">
        <f t="shared" si="1"/>
        <v xml:space="preserve">MANTECA </v>
      </c>
      <c r="K77" t="s">
        <v>703</v>
      </c>
    </row>
    <row r="78" spans="1:11" x14ac:dyDescent="0.2">
      <c r="A78" t="s">
        <v>334</v>
      </c>
      <c r="B78" t="s">
        <v>307</v>
      </c>
      <c r="C78" t="s">
        <v>313</v>
      </c>
      <c r="D78" t="s">
        <v>335</v>
      </c>
      <c r="E78" t="str">
        <f t="shared" si="1"/>
        <v xml:space="preserve">MANTECA </v>
      </c>
      <c r="K78" t="s">
        <v>699</v>
      </c>
    </row>
    <row r="79" spans="1:11" x14ac:dyDescent="0.2">
      <c r="A79" t="s">
        <v>383</v>
      </c>
      <c r="B79" t="s">
        <v>341</v>
      </c>
      <c r="C79" t="s">
        <v>386</v>
      </c>
      <c r="D79" t="s">
        <v>387</v>
      </c>
      <c r="E79" t="str">
        <f t="shared" si="1"/>
        <v xml:space="preserve">AZUCAR </v>
      </c>
      <c r="K79" t="s">
        <v>329</v>
      </c>
    </row>
    <row r="80" spans="1:11" x14ac:dyDescent="0.2">
      <c r="A80" t="s">
        <v>390</v>
      </c>
      <c r="B80" t="s">
        <v>341</v>
      </c>
      <c r="C80" t="s">
        <v>394</v>
      </c>
      <c r="D80" t="s">
        <v>395</v>
      </c>
      <c r="E80" t="str">
        <f t="shared" si="1"/>
        <v xml:space="preserve">CREMA </v>
      </c>
      <c r="K80" t="s">
        <v>631</v>
      </c>
    </row>
    <row r="81" spans="1:11" x14ac:dyDescent="0.2">
      <c r="A81" t="s">
        <v>457</v>
      </c>
      <c r="B81" t="s">
        <v>307</v>
      </c>
      <c r="C81" t="s">
        <v>308</v>
      </c>
      <c r="D81" t="s">
        <v>458</v>
      </c>
      <c r="E81" t="str">
        <f t="shared" si="1"/>
        <v xml:space="preserve">ACEITE </v>
      </c>
      <c r="K81" t="s">
        <v>668</v>
      </c>
    </row>
    <row r="82" spans="1:11" x14ac:dyDescent="0.2">
      <c r="B82" t="s">
        <v>353</v>
      </c>
      <c r="C82" t="s">
        <v>541</v>
      </c>
      <c r="D82" t="s">
        <v>542</v>
      </c>
      <c r="E82" t="str">
        <f t="shared" si="1"/>
        <v xml:space="preserve">TOMATE </v>
      </c>
      <c r="K82" t="s">
        <v>702</v>
      </c>
    </row>
    <row r="83" spans="1:11" x14ac:dyDescent="0.2">
      <c r="A83" t="s">
        <v>517</v>
      </c>
      <c r="B83" t="s">
        <v>352</v>
      </c>
      <c r="C83" t="s">
        <v>522</v>
      </c>
      <c r="D83" t="s">
        <v>523</v>
      </c>
      <c r="E83" t="str">
        <f t="shared" si="1"/>
        <v xml:space="preserve">COSTILLA </v>
      </c>
      <c r="K83" t="s">
        <v>688</v>
      </c>
    </row>
    <row r="84" spans="1:11" x14ac:dyDescent="0.2">
      <c r="A84" t="s">
        <v>383</v>
      </c>
      <c r="B84" t="s">
        <v>341</v>
      </c>
      <c r="C84" t="s">
        <v>388</v>
      </c>
      <c r="D84" t="s">
        <v>389</v>
      </c>
      <c r="E84" t="str">
        <f t="shared" si="1"/>
        <v xml:space="preserve">SALSA </v>
      </c>
      <c r="K84" t="s">
        <v>678</v>
      </c>
    </row>
    <row r="85" spans="1:11" x14ac:dyDescent="0.2">
      <c r="A85" t="s">
        <v>570</v>
      </c>
      <c r="B85" t="s">
        <v>355</v>
      </c>
      <c r="C85" t="s">
        <v>565</v>
      </c>
      <c r="D85" t="s">
        <v>574</v>
      </c>
      <c r="E85" t="str">
        <f t="shared" si="1"/>
        <v xml:space="preserve">OFERT </v>
      </c>
      <c r="K85" t="s">
        <v>658</v>
      </c>
    </row>
    <row r="86" spans="1:11" x14ac:dyDescent="0.2">
      <c r="A86" t="s">
        <v>390</v>
      </c>
      <c r="B86" t="s">
        <v>341</v>
      </c>
      <c r="C86" t="s">
        <v>392</v>
      </c>
      <c r="D86" t="s">
        <v>393</v>
      </c>
      <c r="E86" t="str">
        <f t="shared" si="1"/>
        <v xml:space="preserve">SAL </v>
      </c>
    </row>
    <row r="87" spans="1:11" x14ac:dyDescent="0.2">
      <c r="A87" t="s">
        <v>583</v>
      </c>
      <c r="B87" t="s">
        <v>355</v>
      </c>
      <c r="C87" t="s">
        <v>565</v>
      </c>
      <c r="D87" t="s">
        <v>568</v>
      </c>
      <c r="E87" t="str">
        <f t="shared" si="1"/>
        <v xml:space="preserve">ROMA </v>
      </c>
    </row>
    <row r="88" spans="1:11" x14ac:dyDescent="0.2">
      <c r="A88" t="s">
        <v>529</v>
      </c>
      <c r="B88" t="s">
        <v>352</v>
      </c>
      <c r="C88" t="s">
        <v>530</v>
      </c>
      <c r="D88" t="s">
        <v>531</v>
      </c>
      <c r="E88" t="str">
        <f t="shared" si="1"/>
        <v xml:space="preserve">CROQUETA </v>
      </c>
    </row>
    <row r="89" spans="1:11" x14ac:dyDescent="0.2">
      <c r="A89" t="s">
        <v>306</v>
      </c>
      <c r="B89" t="s">
        <v>307</v>
      </c>
      <c r="C89" t="s">
        <v>308</v>
      </c>
      <c r="D89" t="s">
        <v>309</v>
      </c>
      <c r="E89" t="str">
        <f t="shared" si="1"/>
        <v xml:space="preserve">ACEITE </v>
      </c>
    </row>
    <row r="90" spans="1:11" x14ac:dyDescent="0.2">
      <c r="A90" t="s">
        <v>306</v>
      </c>
      <c r="B90" t="s">
        <v>307</v>
      </c>
      <c r="C90" t="s">
        <v>308</v>
      </c>
      <c r="D90" t="s">
        <v>310</v>
      </c>
      <c r="E90" t="str">
        <f t="shared" si="1"/>
        <v xml:space="preserve">ACEITE </v>
      </c>
    </row>
    <row r="91" spans="1:11" x14ac:dyDescent="0.2">
      <c r="A91" t="s">
        <v>578</v>
      </c>
      <c r="B91" t="s">
        <v>355</v>
      </c>
      <c r="C91" t="s">
        <v>381</v>
      </c>
      <c r="D91" t="s">
        <v>579</v>
      </c>
      <c r="E91" t="str">
        <f t="shared" si="1"/>
        <v xml:space="preserve">PRONTO </v>
      </c>
    </row>
    <row r="92" spans="1:11" x14ac:dyDescent="0.2">
      <c r="A92" t="s">
        <v>334</v>
      </c>
      <c r="B92" t="s">
        <v>307</v>
      </c>
      <c r="C92" t="s">
        <v>315</v>
      </c>
      <c r="D92" t="s">
        <v>316</v>
      </c>
      <c r="E92" t="str">
        <f t="shared" si="1"/>
        <v xml:space="preserve">ACEITE </v>
      </c>
    </row>
    <row r="93" spans="1:11" x14ac:dyDescent="0.2">
      <c r="A93" t="s">
        <v>524</v>
      </c>
      <c r="B93" t="s">
        <v>352</v>
      </c>
      <c r="C93" t="s">
        <v>451</v>
      </c>
      <c r="D93" t="s">
        <v>525</v>
      </c>
      <c r="E93" t="str">
        <f t="shared" si="1"/>
        <v xml:space="preserve">MARGARINA </v>
      </c>
    </row>
    <row r="94" spans="1:11" x14ac:dyDescent="0.2">
      <c r="A94" t="s">
        <v>570</v>
      </c>
      <c r="B94" t="s">
        <v>355</v>
      </c>
      <c r="C94" t="s">
        <v>575</v>
      </c>
      <c r="D94" t="s">
        <v>576</v>
      </c>
      <c r="E94" t="str">
        <f t="shared" si="1"/>
        <v xml:space="preserve">PRONTO </v>
      </c>
    </row>
    <row r="95" spans="1:11" x14ac:dyDescent="0.2">
      <c r="B95" t="s">
        <v>353</v>
      </c>
      <c r="C95" t="s">
        <v>537</v>
      </c>
      <c r="D95" t="s">
        <v>539</v>
      </c>
      <c r="E95" t="str">
        <f t="shared" si="1"/>
        <v xml:space="preserve">RTD </v>
      </c>
    </row>
    <row r="96" spans="1:11" x14ac:dyDescent="0.2">
      <c r="B96" t="s">
        <v>353</v>
      </c>
      <c r="C96" t="s">
        <v>543</v>
      </c>
      <c r="D96" t="s">
        <v>544</v>
      </c>
      <c r="E96" t="str">
        <f t="shared" si="1"/>
        <v xml:space="preserve">SALCHICHA </v>
      </c>
    </row>
    <row r="97" spans="1:5" x14ac:dyDescent="0.2">
      <c r="A97" t="s">
        <v>534</v>
      </c>
      <c r="B97" t="s">
        <v>352</v>
      </c>
      <c r="C97" t="s">
        <v>535</v>
      </c>
      <c r="D97" t="s">
        <v>536</v>
      </c>
      <c r="E97" t="str">
        <f t="shared" si="1"/>
        <v xml:space="preserve">PAPA </v>
      </c>
    </row>
    <row r="98" spans="1:5" x14ac:dyDescent="0.2">
      <c r="A98" t="s">
        <v>383</v>
      </c>
      <c r="B98" t="s">
        <v>341</v>
      </c>
      <c r="C98" t="s">
        <v>384</v>
      </c>
      <c r="D98" t="s">
        <v>385</v>
      </c>
      <c r="E98" t="str">
        <f t="shared" si="1"/>
        <v xml:space="preserve">ARROZ </v>
      </c>
    </row>
    <row r="99" spans="1:5" x14ac:dyDescent="0.2">
      <c r="A99" t="s">
        <v>590</v>
      </c>
      <c r="B99" t="s">
        <v>356</v>
      </c>
      <c r="C99" t="s">
        <v>397</v>
      </c>
      <c r="D99" t="s">
        <v>593</v>
      </c>
      <c r="E99" t="str">
        <f t="shared" si="1"/>
        <v xml:space="preserve">CB1 </v>
      </c>
    </row>
    <row r="100" spans="1:5" x14ac:dyDescent="0.2">
      <c r="A100" t="s">
        <v>570</v>
      </c>
      <c r="B100" t="s">
        <v>355</v>
      </c>
      <c r="C100" t="s">
        <v>565</v>
      </c>
      <c r="D100" t="s">
        <v>577</v>
      </c>
      <c r="E100" t="str">
        <f t="shared" si="1"/>
        <v xml:space="preserve">LUCEMA </v>
      </c>
    </row>
    <row r="101" spans="1:5" x14ac:dyDescent="0.2">
      <c r="A101" t="s">
        <v>454</v>
      </c>
      <c r="B101" t="s">
        <v>307</v>
      </c>
      <c r="C101" t="s">
        <v>397</v>
      </c>
      <c r="D101" t="s">
        <v>453</v>
      </c>
      <c r="E101" t="str">
        <f t="shared" si="1"/>
        <v xml:space="preserve">CAFE </v>
      </c>
    </row>
    <row r="102" spans="1:5" x14ac:dyDescent="0.2">
      <c r="A102" t="s">
        <v>513</v>
      </c>
      <c r="B102" t="s">
        <v>351</v>
      </c>
      <c r="C102" t="s">
        <v>386</v>
      </c>
      <c r="D102" t="s">
        <v>514</v>
      </c>
      <c r="E102" t="str">
        <f t="shared" si="1"/>
        <v xml:space="preserve">AZUCAR </v>
      </c>
    </row>
    <row r="103" spans="1:5" x14ac:dyDescent="0.2">
      <c r="B103" t="s">
        <v>353</v>
      </c>
      <c r="C103" t="s">
        <v>549</v>
      </c>
      <c r="D103" t="s">
        <v>550</v>
      </c>
      <c r="E103" t="str">
        <f t="shared" si="1"/>
        <v xml:space="preserve">PAN </v>
      </c>
    </row>
    <row r="104" spans="1:5" x14ac:dyDescent="0.2">
      <c r="A104" t="s">
        <v>430</v>
      </c>
      <c r="B104" t="s">
        <v>303</v>
      </c>
      <c r="C104" t="s">
        <v>304</v>
      </c>
      <c r="D104" t="s">
        <v>425</v>
      </c>
      <c r="E104" t="str">
        <f t="shared" si="1"/>
        <v xml:space="preserve">PAPAS </v>
      </c>
    </row>
    <row r="105" spans="1:5" x14ac:dyDescent="0.2">
      <c r="A105" t="s">
        <v>517</v>
      </c>
      <c r="B105" t="s">
        <v>352</v>
      </c>
      <c r="C105" t="s">
        <v>520</v>
      </c>
      <c r="D105" t="s">
        <v>521</v>
      </c>
      <c r="E105" t="str">
        <f t="shared" si="1"/>
        <v xml:space="preserve">LECHE </v>
      </c>
    </row>
    <row r="106" spans="1:5" x14ac:dyDescent="0.2">
      <c r="A106" t="s">
        <v>594</v>
      </c>
      <c r="B106" t="s">
        <v>356</v>
      </c>
      <c r="C106" t="s">
        <v>591</v>
      </c>
      <c r="D106" t="s">
        <v>592</v>
      </c>
      <c r="E106" t="str">
        <f t="shared" si="1"/>
        <v xml:space="preserve">BEBIDA </v>
      </c>
    </row>
    <row r="107" spans="1:5" x14ac:dyDescent="0.2">
      <c r="A107" t="s">
        <v>570</v>
      </c>
      <c r="B107" t="s">
        <v>355</v>
      </c>
      <c r="C107" t="s">
        <v>381</v>
      </c>
      <c r="D107" t="s">
        <v>569</v>
      </c>
      <c r="E107" t="str">
        <f t="shared" si="1"/>
        <v xml:space="preserve">PRONTO </v>
      </c>
    </row>
    <row r="108" spans="1:5" x14ac:dyDescent="0.2">
      <c r="A108" t="s">
        <v>426</v>
      </c>
      <c r="B108" t="s">
        <v>303</v>
      </c>
      <c r="C108" t="s">
        <v>427</v>
      </c>
      <c r="D108" t="s">
        <v>428</v>
      </c>
      <c r="E108" t="str">
        <f t="shared" si="1"/>
        <v xml:space="preserve">TOALLA </v>
      </c>
    </row>
    <row r="109" spans="1:5" x14ac:dyDescent="0.2">
      <c r="A109" t="s">
        <v>433</v>
      </c>
      <c r="B109" t="s">
        <v>345</v>
      </c>
      <c r="C109" t="s">
        <v>434</v>
      </c>
      <c r="D109" t="s">
        <v>436</v>
      </c>
      <c r="E109" t="str">
        <f t="shared" si="1"/>
        <v xml:space="preserve">Bolsa </v>
      </c>
    </row>
    <row r="110" spans="1:5" x14ac:dyDescent="0.2">
      <c r="B110" t="s">
        <v>353</v>
      </c>
      <c r="C110" t="s">
        <v>537</v>
      </c>
      <c r="D110" t="s">
        <v>538</v>
      </c>
      <c r="E110" t="str">
        <f t="shared" si="1"/>
        <v xml:space="preserve">RTD </v>
      </c>
    </row>
    <row r="111" spans="1:5" x14ac:dyDescent="0.2">
      <c r="A111" t="s">
        <v>611</v>
      </c>
      <c r="B111" t="s">
        <v>359</v>
      </c>
      <c r="C111" t="s">
        <v>618</v>
      </c>
      <c r="D111" t="s">
        <v>621</v>
      </c>
      <c r="E111" t="str">
        <f t="shared" si="1"/>
        <v xml:space="preserve">Desinfectante </v>
      </c>
    </row>
    <row r="112" spans="1:5" x14ac:dyDescent="0.2">
      <c r="A112" t="s">
        <v>594</v>
      </c>
      <c r="B112" t="s">
        <v>356</v>
      </c>
      <c r="C112" t="s">
        <v>397</v>
      </c>
      <c r="D112" t="s">
        <v>595</v>
      </c>
      <c r="E112" t="str">
        <f t="shared" si="1"/>
        <v xml:space="preserve">CB1 </v>
      </c>
    </row>
    <row r="113" spans="1:5" x14ac:dyDescent="0.2">
      <c r="A113" t="s">
        <v>449</v>
      </c>
      <c r="B113" t="s">
        <v>307</v>
      </c>
      <c r="C113" t="s">
        <v>416</v>
      </c>
      <c r="D113" t="s">
        <v>450</v>
      </c>
      <c r="E113" t="str">
        <f t="shared" si="1"/>
        <v xml:space="preserve">ACHIOTE </v>
      </c>
    </row>
    <row r="114" spans="1:5" x14ac:dyDescent="0.2">
      <c r="A114" t="s">
        <v>515</v>
      </c>
      <c r="B114" t="s">
        <v>351</v>
      </c>
      <c r="C114" t="s">
        <v>386</v>
      </c>
      <c r="D114" t="s">
        <v>516</v>
      </c>
      <c r="E114" t="str">
        <f t="shared" si="1"/>
        <v xml:space="preserve">AZÚCAR </v>
      </c>
    </row>
    <row r="115" spans="1:5" x14ac:dyDescent="0.2">
      <c r="A115" t="s">
        <v>611</v>
      </c>
      <c r="B115" t="s">
        <v>359</v>
      </c>
      <c r="C115" t="s">
        <v>618</v>
      </c>
      <c r="D115" t="s">
        <v>620</v>
      </c>
      <c r="E115" t="str">
        <f t="shared" si="1"/>
        <v xml:space="preserve">Desinfectante </v>
      </c>
    </row>
    <row r="116" spans="1:5" x14ac:dyDescent="0.2">
      <c r="A116" t="s">
        <v>524</v>
      </c>
      <c r="B116" t="s">
        <v>352</v>
      </c>
      <c r="C116" t="s">
        <v>451</v>
      </c>
      <c r="D116" t="s">
        <v>526</v>
      </c>
      <c r="E116" t="str">
        <f t="shared" si="1"/>
        <v xml:space="preserve">MARGARINA </v>
      </c>
    </row>
    <row r="117" spans="1:5" x14ac:dyDescent="0.2">
      <c r="A117" t="s">
        <v>454</v>
      </c>
      <c r="B117" t="s">
        <v>307</v>
      </c>
      <c r="C117" t="s">
        <v>451</v>
      </c>
      <c r="D117" t="s">
        <v>456</v>
      </c>
      <c r="E117" t="str">
        <f t="shared" si="1"/>
        <v xml:space="preserve">MARGARINA </v>
      </c>
    </row>
    <row r="118" spans="1:5" x14ac:dyDescent="0.2">
      <c r="A118" t="s">
        <v>449</v>
      </c>
      <c r="B118" t="s">
        <v>307</v>
      </c>
      <c r="C118" t="s">
        <v>451</v>
      </c>
      <c r="D118" t="s">
        <v>452</v>
      </c>
      <c r="E118" t="str">
        <f t="shared" si="1"/>
        <v xml:space="preserve">MARGARINA </v>
      </c>
    </row>
    <row r="119" spans="1:5" x14ac:dyDescent="0.2">
      <c r="A119" t="s">
        <v>411</v>
      </c>
      <c r="B119" t="s">
        <v>343</v>
      </c>
      <c r="C119" t="s">
        <v>412</v>
      </c>
      <c r="D119" t="s">
        <v>413</v>
      </c>
      <c r="E119" t="str">
        <f t="shared" si="1"/>
        <v xml:space="preserve">(C2277-447494) </v>
      </c>
    </row>
    <row r="120" spans="1:5" x14ac:dyDescent="0.2">
      <c r="A120" t="s">
        <v>459</v>
      </c>
      <c r="B120" t="s">
        <v>307</v>
      </c>
      <c r="C120" t="s">
        <v>416</v>
      </c>
      <c r="D120" t="s">
        <v>460</v>
      </c>
      <c r="E120" t="str">
        <f t="shared" si="1"/>
        <v xml:space="preserve">ACHIOTE </v>
      </c>
    </row>
    <row r="121" spans="1:5" x14ac:dyDescent="0.2">
      <c r="A121" t="s">
        <v>611</v>
      </c>
      <c r="B121" t="s">
        <v>359</v>
      </c>
      <c r="C121" t="s">
        <v>616</v>
      </c>
      <c r="D121" t="s">
        <v>617</v>
      </c>
      <c r="E121" t="str">
        <f t="shared" si="1"/>
        <v xml:space="preserve">Desengrasante </v>
      </c>
    </row>
    <row r="122" spans="1:5" x14ac:dyDescent="0.2">
      <c r="A122" t="s">
        <v>611</v>
      </c>
      <c r="B122" t="s">
        <v>359</v>
      </c>
      <c r="C122" t="s">
        <v>618</v>
      </c>
      <c r="D122" t="s">
        <v>623</v>
      </c>
      <c r="E122" t="str">
        <f t="shared" si="1"/>
        <v xml:space="preserve">Desinfectante </v>
      </c>
    </row>
    <row r="123" spans="1:5" x14ac:dyDescent="0.2">
      <c r="A123" t="s">
        <v>611</v>
      </c>
      <c r="B123" t="s">
        <v>359</v>
      </c>
      <c r="C123" t="s">
        <v>618</v>
      </c>
      <c r="D123" t="s">
        <v>619</v>
      </c>
      <c r="E123" t="str">
        <f t="shared" si="1"/>
        <v xml:space="preserve">Cera </v>
      </c>
    </row>
    <row r="124" spans="1:5" x14ac:dyDescent="0.2">
      <c r="A124" t="s">
        <v>441</v>
      </c>
      <c r="B124" t="s">
        <v>345</v>
      </c>
      <c r="C124" t="s">
        <v>442</v>
      </c>
      <c r="D124" t="s">
        <v>443</v>
      </c>
      <c r="E124" t="str">
        <f t="shared" si="1"/>
        <v xml:space="preserve">Bandeja </v>
      </c>
    </row>
    <row r="125" spans="1:5" x14ac:dyDescent="0.2">
      <c r="A125" t="s">
        <v>611</v>
      </c>
      <c r="B125" t="s">
        <v>359</v>
      </c>
      <c r="C125" t="s">
        <v>618</v>
      </c>
      <c r="D125" t="s">
        <v>622</v>
      </c>
      <c r="E125" t="str">
        <f t="shared" si="1"/>
        <v xml:space="preserve">Desinfectante </v>
      </c>
    </row>
    <row r="126" spans="1:5" x14ac:dyDescent="0.2">
      <c r="A126" t="s">
        <v>418</v>
      </c>
      <c r="B126" t="s">
        <v>344</v>
      </c>
      <c r="C126" t="s">
        <v>416</v>
      </c>
      <c r="D126" t="s">
        <v>419</v>
      </c>
      <c r="E126" t="str">
        <f t="shared" si="1"/>
        <v xml:space="preserve">Lin. </v>
      </c>
    </row>
    <row r="127" spans="1:5" x14ac:dyDescent="0.2">
      <c r="A127" t="s">
        <v>517</v>
      </c>
      <c r="B127" t="s">
        <v>352</v>
      </c>
      <c r="C127" t="s">
        <v>518</v>
      </c>
      <c r="D127" t="s">
        <v>519</v>
      </c>
      <c r="E127" t="str">
        <f t="shared" si="1"/>
        <v xml:space="preserve">ACEITE </v>
      </c>
    </row>
    <row r="128" spans="1:5" x14ac:dyDescent="0.2">
      <c r="A128" t="s">
        <v>529</v>
      </c>
      <c r="B128" t="s">
        <v>352</v>
      </c>
      <c r="C128" t="s">
        <v>532</v>
      </c>
      <c r="D128" t="s">
        <v>533</v>
      </c>
      <c r="E128" t="str">
        <f t="shared" si="1"/>
        <v xml:space="preserve">PALITOS </v>
      </c>
    </row>
    <row r="129" spans="1:5" x14ac:dyDescent="0.2">
      <c r="A129" t="s">
        <v>411</v>
      </c>
      <c r="B129" t="s">
        <v>343</v>
      </c>
      <c r="C129" t="s">
        <v>412</v>
      </c>
      <c r="D129" t="s">
        <v>414</v>
      </c>
      <c r="E129" t="str">
        <f t="shared" si="1"/>
        <v xml:space="preserve">(C2346-442673) </v>
      </c>
    </row>
    <row r="130" spans="1:5" x14ac:dyDescent="0.2">
      <c r="A130" t="s">
        <v>457</v>
      </c>
      <c r="B130" t="s">
        <v>307</v>
      </c>
      <c r="C130" t="s">
        <v>317</v>
      </c>
      <c r="D130" t="s">
        <v>318</v>
      </c>
      <c r="E130" t="str">
        <f t="shared" si="1"/>
        <v xml:space="preserve">SOPA </v>
      </c>
    </row>
    <row r="131" spans="1:5" x14ac:dyDescent="0.2">
      <c r="A131" t="s">
        <v>611</v>
      </c>
      <c r="B131" t="s">
        <v>359</v>
      </c>
      <c r="C131" t="s">
        <v>624</v>
      </c>
      <c r="D131" t="s">
        <v>625</v>
      </c>
      <c r="E131" t="str">
        <f t="shared" ref="E131:E156" si="2">IFERROR(LEFT(D131,FIND(" ",D131)),D131)</f>
        <v xml:space="preserve">Jabón </v>
      </c>
    </row>
    <row r="132" spans="1:5" x14ac:dyDescent="0.2">
      <c r="A132" t="s">
        <v>479</v>
      </c>
      <c r="B132" t="s">
        <v>8</v>
      </c>
      <c r="C132" t="s">
        <v>5</v>
      </c>
      <c r="D132" t="s">
        <v>481</v>
      </c>
      <c r="E132" t="str">
        <f t="shared" si="2"/>
        <v xml:space="preserve">BULTO </v>
      </c>
    </row>
    <row r="133" spans="1:5" x14ac:dyDescent="0.2">
      <c r="A133" t="s">
        <v>433</v>
      </c>
      <c r="B133" t="s">
        <v>345</v>
      </c>
      <c r="C133" t="s">
        <v>439</v>
      </c>
      <c r="D133" t="s">
        <v>440</v>
      </c>
      <c r="E133" t="str">
        <f t="shared" si="2"/>
        <v xml:space="preserve">Tapa </v>
      </c>
    </row>
    <row r="134" spans="1:5" x14ac:dyDescent="0.2">
      <c r="A134" t="s">
        <v>446</v>
      </c>
      <c r="B134" t="s">
        <v>345</v>
      </c>
      <c r="C134" t="s">
        <v>437</v>
      </c>
      <c r="D134" t="s">
        <v>438</v>
      </c>
      <c r="E134" t="str">
        <f t="shared" si="2"/>
        <v xml:space="preserve">Servilleta </v>
      </c>
    </row>
    <row r="135" spans="1:5" x14ac:dyDescent="0.2">
      <c r="A135" t="s">
        <v>479</v>
      </c>
      <c r="B135" t="s">
        <v>8</v>
      </c>
      <c r="C135" t="s">
        <v>5</v>
      </c>
      <c r="D135" t="s">
        <v>480</v>
      </c>
      <c r="E135" t="str">
        <f t="shared" si="2"/>
        <v xml:space="preserve">HARINA </v>
      </c>
    </row>
    <row r="136" spans="1:5" x14ac:dyDescent="0.2">
      <c r="A136" t="s">
        <v>484</v>
      </c>
      <c r="B136" t="s">
        <v>8</v>
      </c>
      <c r="C136" t="s">
        <v>5</v>
      </c>
      <c r="D136" t="s">
        <v>486</v>
      </c>
      <c r="E136" t="str">
        <f t="shared" si="2"/>
        <v xml:space="preserve">BULTO </v>
      </c>
    </row>
    <row r="137" spans="1:5" x14ac:dyDescent="0.2">
      <c r="A137" t="s">
        <v>459</v>
      </c>
      <c r="B137" t="s">
        <v>307</v>
      </c>
      <c r="C137" t="s">
        <v>317</v>
      </c>
      <c r="D137" t="s">
        <v>461</v>
      </c>
      <c r="E137" t="str">
        <f t="shared" si="2"/>
        <v xml:space="preserve">SOPA </v>
      </c>
    </row>
    <row r="138" spans="1:5" x14ac:dyDescent="0.2">
      <c r="A138" t="s">
        <v>7</v>
      </c>
      <c r="B138" t="s">
        <v>8</v>
      </c>
      <c r="C138" t="s">
        <v>5</v>
      </c>
      <c r="D138" t="s">
        <v>6</v>
      </c>
      <c r="E138" t="str">
        <f t="shared" si="2"/>
        <v xml:space="preserve">HARINA </v>
      </c>
    </row>
    <row r="139" spans="1:5" x14ac:dyDescent="0.2">
      <c r="A139" t="s">
        <v>477</v>
      </c>
      <c r="B139" t="s">
        <v>8</v>
      </c>
      <c r="C139" t="s">
        <v>5</v>
      </c>
      <c r="D139" t="s">
        <v>478</v>
      </c>
      <c r="E139" t="str">
        <f t="shared" si="2"/>
        <v xml:space="preserve">HARINA </v>
      </c>
    </row>
    <row r="140" spans="1:5" x14ac:dyDescent="0.2">
      <c r="A140" t="s">
        <v>482</v>
      </c>
      <c r="B140" t="s">
        <v>8</v>
      </c>
      <c r="C140" t="s">
        <v>5</v>
      </c>
      <c r="D140" t="s">
        <v>483</v>
      </c>
      <c r="E140" t="str">
        <f t="shared" si="2"/>
        <v xml:space="preserve">HARINA </v>
      </c>
    </row>
    <row r="141" spans="1:5" x14ac:dyDescent="0.2">
      <c r="A141" t="s">
        <v>484</v>
      </c>
      <c r="B141" t="s">
        <v>8</v>
      </c>
      <c r="C141" t="s">
        <v>5</v>
      </c>
      <c r="D141" t="s">
        <v>485</v>
      </c>
      <c r="E141" t="str">
        <f t="shared" si="2"/>
        <v xml:space="preserve">BULTO </v>
      </c>
    </row>
    <row r="142" spans="1:5" x14ac:dyDescent="0.2">
      <c r="A142" t="s">
        <v>459</v>
      </c>
      <c r="B142" t="s">
        <v>307</v>
      </c>
      <c r="C142" t="s">
        <v>317</v>
      </c>
      <c r="D142" t="s">
        <v>462</v>
      </c>
      <c r="E142" t="str">
        <f t="shared" si="2"/>
        <v xml:space="preserve">SOPA </v>
      </c>
    </row>
    <row r="143" spans="1:5" x14ac:dyDescent="0.2">
      <c r="A143" t="s">
        <v>429</v>
      </c>
      <c r="B143" t="s">
        <v>303</v>
      </c>
      <c r="C143" t="s">
        <v>304</v>
      </c>
      <c r="D143" t="s">
        <v>305</v>
      </c>
      <c r="E143" t="str">
        <f t="shared" si="2"/>
        <v xml:space="preserve">PAPAS </v>
      </c>
    </row>
    <row r="144" spans="1:5" x14ac:dyDescent="0.2">
      <c r="A144" t="s">
        <v>459</v>
      </c>
      <c r="B144" t="s">
        <v>307</v>
      </c>
      <c r="C144" t="s">
        <v>317</v>
      </c>
      <c r="D144" t="s">
        <v>464</v>
      </c>
      <c r="E144" t="str">
        <f t="shared" si="2"/>
        <v xml:space="preserve">SOPA </v>
      </c>
    </row>
    <row r="145" spans="1:5" x14ac:dyDescent="0.2">
      <c r="A145" t="s">
        <v>465</v>
      </c>
      <c r="B145" t="s">
        <v>347</v>
      </c>
      <c r="C145" t="s">
        <v>308</v>
      </c>
      <c r="D145" t="s">
        <v>472</v>
      </c>
      <c r="E145" t="str">
        <f t="shared" si="2"/>
        <v xml:space="preserve">MMTGIAG05 </v>
      </c>
    </row>
    <row r="146" spans="1:5" x14ac:dyDescent="0.2">
      <c r="A146" t="s">
        <v>459</v>
      </c>
      <c r="B146" t="s">
        <v>307</v>
      </c>
      <c r="C146" t="s">
        <v>317</v>
      </c>
      <c r="D146" t="s">
        <v>463</v>
      </c>
      <c r="E146" t="str">
        <f t="shared" si="2"/>
        <v xml:space="preserve">SOPA </v>
      </c>
    </row>
    <row r="147" spans="1:5" x14ac:dyDescent="0.2">
      <c r="A147" t="s">
        <v>465</v>
      </c>
      <c r="B147" t="s">
        <v>347</v>
      </c>
      <c r="C147" t="s">
        <v>384</v>
      </c>
      <c r="D147" t="s">
        <v>471</v>
      </c>
      <c r="E147" t="str">
        <f t="shared" si="2"/>
        <v xml:space="preserve">MTMSGR78 </v>
      </c>
    </row>
    <row r="148" spans="1:5" x14ac:dyDescent="0.2">
      <c r="A148" t="s">
        <v>465</v>
      </c>
      <c r="B148" t="s">
        <v>347</v>
      </c>
      <c r="C148" t="s">
        <v>308</v>
      </c>
      <c r="D148" t="s">
        <v>470</v>
      </c>
      <c r="E148" t="str">
        <f t="shared" si="2"/>
        <v xml:space="preserve">MTMSAG08 </v>
      </c>
    </row>
    <row r="149" spans="1:5" x14ac:dyDescent="0.2">
      <c r="A149" t="s">
        <v>465</v>
      </c>
      <c r="B149" t="s">
        <v>347</v>
      </c>
      <c r="C149" t="s">
        <v>466</v>
      </c>
      <c r="D149" t="s">
        <v>467</v>
      </c>
      <c r="E149" t="str">
        <f t="shared" si="2"/>
        <v xml:space="preserve">MTEZDE401 </v>
      </c>
    </row>
    <row r="150" spans="1:5" x14ac:dyDescent="0.2">
      <c r="A150" t="s">
        <v>465</v>
      </c>
      <c r="B150" t="s">
        <v>347</v>
      </c>
      <c r="C150" t="s">
        <v>439</v>
      </c>
      <c r="D150" t="s">
        <v>468</v>
      </c>
      <c r="E150" t="str">
        <f t="shared" si="2"/>
        <v xml:space="preserve">MTEZDE418 </v>
      </c>
    </row>
    <row r="151" spans="1:5" x14ac:dyDescent="0.2">
      <c r="A151" t="s">
        <v>465</v>
      </c>
      <c r="B151" t="s">
        <v>347</v>
      </c>
      <c r="C151" t="s">
        <v>466</v>
      </c>
      <c r="D151" t="s">
        <v>469</v>
      </c>
      <c r="E151" t="str">
        <f t="shared" si="2"/>
        <v xml:space="preserve">MTEZDE450 </v>
      </c>
    </row>
    <row r="152" spans="1:5" x14ac:dyDescent="0.2">
      <c r="A152" t="s">
        <v>499</v>
      </c>
      <c r="B152" t="s">
        <v>350</v>
      </c>
      <c r="C152" t="s">
        <v>500</v>
      </c>
      <c r="D152" t="s">
        <v>501</v>
      </c>
      <c r="E152" t="str">
        <f t="shared" si="2"/>
        <v xml:space="preserve">FRIJOL </v>
      </c>
    </row>
    <row r="153" spans="1:5" x14ac:dyDescent="0.2">
      <c r="A153" t="s">
        <v>502</v>
      </c>
      <c r="B153" t="s">
        <v>350</v>
      </c>
      <c r="C153" t="s">
        <v>500</v>
      </c>
      <c r="D153" t="s">
        <v>504</v>
      </c>
      <c r="E153" t="str">
        <f t="shared" si="2"/>
        <v xml:space="preserve">FRIJOL </v>
      </c>
    </row>
    <row r="154" spans="1:5" x14ac:dyDescent="0.2">
      <c r="A154" t="s">
        <v>505</v>
      </c>
      <c r="B154" t="s">
        <v>350</v>
      </c>
      <c r="C154" t="s">
        <v>500</v>
      </c>
      <c r="D154" t="s">
        <v>506</v>
      </c>
      <c r="E154" t="str">
        <f t="shared" si="2"/>
        <v xml:space="preserve">FRIJOL </v>
      </c>
    </row>
    <row r="155" spans="1:5" x14ac:dyDescent="0.2">
      <c r="A155" t="s">
        <v>507</v>
      </c>
      <c r="B155" t="s">
        <v>350</v>
      </c>
      <c r="C155" t="s">
        <v>500</v>
      </c>
      <c r="D155" t="s">
        <v>508</v>
      </c>
      <c r="E155" t="str">
        <f t="shared" si="2"/>
        <v xml:space="preserve">FRIJOL </v>
      </c>
    </row>
    <row r="156" spans="1:5" x14ac:dyDescent="0.2">
      <c r="A156" t="s">
        <v>502</v>
      </c>
      <c r="B156" t="s">
        <v>350</v>
      </c>
      <c r="C156" t="s">
        <v>500</v>
      </c>
      <c r="D156" t="s">
        <v>503</v>
      </c>
      <c r="E156" t="str">
        <f t="shared" si="2"/>
        <v xml:space="preserve">FRIJOL </v>
      </c>
    </row>
  </sheetData>
  <autoFilter ref="K1:K85" xr:uid="{7368C4BA-12AE-467C-99C8-6BA14BBD97BA}">
    <sortState xmlns:xlrd2="http://schemas.microsoft.com/office/spreadsheetml/2017/richdata2" ref="K2:K85">
      <sortCondition ref="K1:K85"/>
    </sortState>
  </autoFilter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ABD7557-F029-4D06-8A48-CC98667D9C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Macro</vt:lpstr>
      <vt:lpstr>proveedor</vt:lpstr>
      <vt:lpstr>tblProductos</vt:lpstr>
      <vt:lpstr>tblFacturasDetalle</vt:lpstr>
      <vt:lpstr>tblFacturas</vt:lpstr>
      <vt:lpstr>ProductoCheck</vt:lpstr>
      <vt:lpstr>categorias</vt:lpstr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Minor Gomez Viales</dc:creator>
  <cp:lastModifiedBy>Minor Gomez Viales</cp:lastModifiedBy>
  <dcterms:created xsi:type="dcterms:W3CDTF">2024-07-18T03:22:34Z</dcterms:created>
  <dcterms:modified xsi:type="dcterms:W3CDTF">2024-08-07T16:46:13Z</dcterms:modified>
</cp:coreProperties>
</file>